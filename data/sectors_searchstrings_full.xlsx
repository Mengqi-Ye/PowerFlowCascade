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X:\BETA-IVM-BAZIS\mye500\projects\Map2Grid\data\"/>
    </mc:Choice>
  </mc:AlternateContent>
  <xr:revisionPtr revIDLastSave="0" documentId="13_ncr:1_{24EBF799-8E12-494D-8998-BD843ADCC3ED}" xr6:coauthVersionLast="47" xr6:coauthVersionMax="47" xr10:uidLastSave="{00000000-0000-0000-0000-000000000000}"/>
  <bookViews>
    <workbookView xWindow="-19440" yWindow="-2674" windowWidth="19543" windowHeight="12377" xr2:uid="{00000000-000D-0000-FFFF-FFFF00000000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1" l="1"/>
  <c r="C2" i="1"/>
  <c r="C7" i="1"/>
  <c r="C12" i="1"/>
  <c r="C9" i="1"/>
  <c r="C14" i="1"/>
  <c r="C5" i="1"/>
  <c r="C4" i="1"/>
  <c r="C3" i="1"/>
  <c r="C10" i="1"/>
  <c r="C8" i="1"/>
  <c r="C15" i="1" l="1"/>
  <c r="C6" i="1"/>
  <c r="C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tc={D49F7B4E-9F47-496D-87D6-85123C51BDF2}</author>
    <author>tc={3B6DF46A-8C79-4561-99E3-2C342C9BD160}</author>
  </authors>
  <commentList>
    <comment ref="B3" authorId="0" shapeId="0" xr:uid="{D49F7B4E-9F47-496D-87D6-85123C51BDF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European Commission: TCLF (Textiles, clothing, leather and footwear) industries
</t>
      </text>
    </comment>
    <comment ref="E7" authorId="1" shapeId="0" xr:uid="{3B6DF46A-8C79-4561-99E3-2C342C9BD160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https://en.wikipedia.org/wiki/Chemical_industry#/media/File:FEMA_-_37677_-_Aerial_of_a_Louisiana_oil_refinary_repaired_since_Katrina.jpg</t>
      </text>
    </comment>
  </commentList>
</comments>
</file>

<file path=xl/sharedStrings.xml><?xml version="1.0" encoding="utf-8"?>
<sst xmlns="http://schemas.openxmlformats.org/spreadsheetml/2006/main" count="122" uniqueCount="121">
  <si>
    <t>sector_id</t>
  </si>
  <si>
    <t>sector_aggregated</t>
  </si>
  <si>
    <t>string_1</t>
  </si>
  <si>
    <t>string_2</t>
  </si>
  <si>
    <t>string_3</t>
  </si>
  <si>
    <t>Steel fabricator</t>
  </si>
  <si>
    <t>Metal processing company</t>
  </si>
  <si>
    <t>Chemical manufacturer</t>
  </si>
  <si>
    <t>Chemical plant</t>
  </si>
  <si>
    <t>Metal fabricator</t>
  </si>
  <si>
    <t xml:space="preserve">Plastic fabrication company </t>
  </si>
  <si>
    <t>Rubber products supplier</t>
  </si>
  <si>
    <t>Clothes and fabric manufacturer</t>
  </si>
  <si>
    <t>Leather goods manufacturer</t>
  </si>
  <si>
    <t>Textile mills</t>
  </si>
  <si>
    <t>Food, beverages, and tobacco</t>
  </si>
  <si>
    <t>Textiles and textile products</t>
  </si>
  <si>
    <t>Leather, leather products, and footwear</t>
  </si>
  <si>
    <t>Wood and products of wood and cork</t>
  </si>
  <si>
    <t>Pulp, paper, paper products, printing, and publishing</t>
  </si>
  <si>
    <t>Coke, refined petroleum, and nuclear fuel</t>
  </si>
  <si>
    <t>Chemicals and chemical products</t>
  </si>
  <si>
    <t>Rubber and plastics</t>
  </si>
  <si>
    <t>Other nonmetallic minerals</t>
  </si>
  <si>
    <t>Basic metals and fabricated metal</t>
  </si>
  <si>
    <t>Machinery, nec</t>
  </si>
  <si>
    <t>Transport equipment</t>
  </si>
  <si>
    <t>Manufacturing, nec; recycling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</si>
  <si>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</si>
  <si>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</si>
  <si>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</si>
  <si>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</si>
  <si>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</si>
  <si>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</si>
  <si>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</si>
  <si>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</si>
  <si>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</si>
  <si>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</si>
  <si>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</si>
  <si>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</si>
  <si>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</si>
  <si>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</si>
  <si>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Fabric product manufacturer</t>
  </si>
  <si>
    <t>Food manufacturer</t>
  </si>
  <si>
    <t>Electronics manufacturer</t>
  </si>
  <si>
    <t>Steel distributor</t>
  </si>
  <si>
    <t>Furniture manufacturer</t>
  </si>
  <si>
    <t>Food processing company</t>
  </si>
  <si>
    <t>Tool manufacturer</t>
  </si>
  <si>
    <t>Packaging company</t>
  </si>
  <si>
    <t>Machining manufacturer</t>
  </si>
  <si>
    <t>Car manufacturer</t>
  </si>
  <si>
    <t>Glass manufacturer</t>
  </si>
  <si>
    <t>Frozen food manufacturer</t>
  </si>
  <si>
    <t>Machinery parts manufacturer</t>
  </si>
  <si>
    <t>Cosmetic products manufacturer</t>
  </si>
  <si>
    <t>Food products supplier</t>
  </si>
  <si>
    <t>Food and beverage exporter</t>
  </si>
  <si>
    <t>Beverage distributor</t>
  </si>
  <si>
    <t>Tobacco supplier</t>
  </si>
  <si>
    <t>Clothing supplier</t>
  </si>
  <si>
    <t>Knitwear manufacturer</t>
  </si>
  <si>
    <t>Fabric wholesaler</t>
  </si>
  <si>
    <t>Cotton mill</t>
  </si>
  <si>
    <t>Leather goods supplier</t>
  </si>
  <si>
    <t>Plywood supplier</t>
  </si>
  <si>
    <t>Saw mill</t>
  </si>
  <si>
    <t>Wood supplier</t>
  </si>
  <si>
    <t>Paper mill</t>
  </si>
  <si>
    <t>Paper distributor</t>
  </si>
  <si>
    <t>Oil refinery</t>
  </si>
  <si>
    <t>Oil &amp; natural gas company</t>
  </si>
  <si>
    <t>Fuel supplier</t>
  </si>
  <si>
    <t>Chemical industry</t>
  </si>
  <si>
    <t>Foam rubber producer</t>
  </si>
  <si>
    <t>Plastic products supplier</t>
  </si>
  <si>
    <t>Plastic injection molding service</t>
  </si>
  <si>
    <t>Plastic resin manufacturer</t>
  </si>
  <si>
    <t>Metal industry suppliers</t>
  </si>
  <si>
    <t>Steel construction company</t>
  </si>
  <si>
    <t>Metal supplier</t>
  </si>
  <si>
    <t>Stainless steel plant</t>
  </si>
  <si>
    <t>Agricultural machinery manufacturer</t>
  </si>
  <si>
    <t>Mechanical plant</t>
  </si>
  <si>
    <t>Industrial equipment supplier</t>
  </si>
  <si>
    <t>Construction equipment supplier</t>
  </si>
  <si>
    <t>Auto parts manufacturer</t>
  </si>
  <si>
    <t>Electronic parts supplier</t>
  </si>
  <si>
    <t>Optical products manufacturer</t>
  </si>
  <si>
    <t>Car factory</t>
  </si>
  <si>
    <t>Recycling center</t>
  </si>
  <si>
    <t>Auto body parts supplier</t>
  </si>
  <si>
    <t>string_4</t>
  </si>
  <si>
    <t>string_5</t>
  </si>
  <si>
    <t>string_6</t>
  </si>
  <si>
    <t>string_7</t>
  </si>
  <si>
    <t>string_8</t>
  </si>
  <si>
    <t>Pharmaceutical company</t>
  </si>
  <si>
    <t>Industrial gas supplier</t>
  </si>
  <si>
    <t>Fertilizer supplier</t>
  </si>
  <si>
    <t>Shoe factory</t>
  </si>
  <si>
    <t>Cement manufacturer</t>
  </si>
  <si>
    <t>Ceramic manufacturer</t>
  </si>
  <si>
    <t>Pottery manufacturer</t>
  </si>
  <si>
    <t>Food manufacturing supply</t>
  </si>
  <si>
    <t>Foundry</t>
  </si>
  <si>
    <t>Aluminum supplier</t>
  </si>
  <si>
    <t>Food machinery supplier</t>
  </si>
  <si>
    <t>Semi conductor supplier</t>
  </si>
  <si>
    <t>Telecommunications equipment supplier</t>
  </si>
  <si>
    <t>Shipyard</t>
  </si>
  <si>
    <t>Material handling equipment supplier</t>
  </si>
  <si>
    <t>Metalware producer</t>
  </si>
  <si>
    <t>string_9</t>
  </si>
  <si>
    <t>string_10</t>
  </si>
  <si>
    <t>Electrical equipment manufacturer</t>
  </si>
  <si>
    <t>Tyre manufacturer</t>
  </si>
  <si>
    <t>sector_code</t>
  </si>
  <si>
    <t>Shipping company</t>
  </si>
  <si>
    <t>electricity_demand</t>
  </si>
  <si>
    <t>Electrical and c equipment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</si>
</sst>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4" fillId="0" borderId="0" xfId="0" applyFont="1" applyAlignment="1">
      <alignment horizontal="center" vertical="top"/>
    </xf>
    <xf numFmtId="0" fontId="4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1" fontId="3" fillId="0" borderId="0" xfId="0" applyNumberFormat="1" applyFont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microsoft.com/office/2017/10/relationships/person" Target="persons/perso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mye500\projects\Map2Grid\data\Vietanm_electricity_statistics.xlsx" TargetMode="External"/><Relationship Id="rId1" Type="http://schemas.openxmlformats.org/officeDocument/2006/relationships/externalLinkPath" Target="/mye500/projects/Map2Grid/data/Vietanm_electricity_statistic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BETA-IVM-BAZIS\mye500\projects\Map2Grid\data\Vietanm_electricity_statistics.xlsx" TargetMode="External"/><Relationship Id="rId1" Type="http://schemas.openxmlformats.org/officeDocument/2006/relationships/externalLinkPath" Target="Vietanm_electricity_statistic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alled_capacity"/>
      <sheetName val="Power_generation"/>
      <sheetName val="Summary_cheet"/>
      <sheetName val="Electricity_sales"/>
      <sheetName val="Notes"/>
    </sheetNames>
    <sheetDataSet>
      <sheetData sheetId="0"/>
      <sheetData sheetId="1"/>
      <sheetData sheetId="2"/>
      <sheetData sheetId="3">
        <row r="18">
          <cell r="C18">
            <v>17667.596425966785</v>
          </cell>
        </row>
        <row r="19">
          <cell r="C19">
            <v>4255.0298829907761</v>
          </cell>
        </row>
        <row r="20">
          <cell r="C20">
            <v>241.69078558094094</v>
          </cell>
        </row>
        <row r="21">
          <cell r="C21">
            <v>8423.5599058788994</v>
          </cell>
        </row>
        <row r="22">
          <cell r="C22">
            <v>4117.6477522395044</v>
          </cell>
        </row>
        <row r="23">
          <cell r="C23">
            <v>4509.4412362338717</v>
          </cell>
        </row>
        <row r="24">
          <cell r="C24">
            <v>6093.1519101721424</v>
          </cell>
        </row>
        <row r="25">
          <cell r="C25">
            <v>3788.1850497896953</v>
          </cell>
        </row>
        <row r="26">
          <cell r="C26">
            <v>454.12426553892584</v>
          </cell>
        </row>
        <row r="27">
          <cell r="C27">
            <v>231.51433145121709</v>
          </cell>
        </row>
        <row r="28">
          <cell r="C28">
            <v>2823.9660209983626</v>
          </cell>
        </row>
        <row r="29">
          <cell r="C29">
            <v>9717.2416371200416</v>
          </cell>
        </row>
        <row r="30">
          <cell r="C30">
            <v>14496.358907791593</v>
          </cell>
        </row>
        <row r="31">
          <cell r="C31">
            <v>10902.798543232866</v>
          </cell>
        </row>
        <row r="32">
          <cell r="C32">
            <v>11009.651311594967</v>
          </cell>
        </row>
        <row r="33">
          <cell r="C33">
            <v>2077.2686992298763</v>
          </cell>
        </row>
        <row r="38">
          <cell r="C38">
            <v>962.94697202511725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alled_capacity"/>
      <sheetName val="Power_generation"/>
      <sheetName val="Summary_cheet"/>
      <sheetName val="Electricity_sales"/>
      <sheetName val="Notes"/>
    </sheetNames>
    <sheetDataSet>
      <sheetData sheetId="0"/>
      <sheetData sheetId="1"/>
      <sheetData sheetId="2"/>
      <sheetData sheetId="3">
        <row r="34">
          <cell r="C34">
            <v>3325.1563868872609</v>
          </cell>
        </row>
        <row r="35">
          <cell r="C35">
            <v>8474.4421765275183</v>
          </cell>
        </row>
        <row r="36">
          <cell r="C36">
            <v>1152.4834301912235</v>
          </cell>
        </row>
        <row r="37">
          <cell r="C37">
            <v>465.57277643486515</v>
          </cell>
        </row>
        <row r="39">
          <cell r="C39">
            <v>465.57277643486515</v>
          </cell>
        </row>
        <row r="40">
          <cell r="C40">
            <v>933.68966640216138</v>
          </cell>
        </row>
      </sheetData>
      <sheetData sheetId="4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e, M. (Mengqi)" id="{72DFAC19-5F7F-4978-8B90-1A362F17D3DC}" userId="S::mengqi.ye@vu.nl::45fa2f73-6ae4-4a35-b8cc-8fdf1d8faf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3-26T14:58:07.09" personId="{72DFAC19-5F7F-4978-8B90-1A362F17D3DC}" id="{D49F7B4E-9F47-496D-87D6-85123C51BDF2}">
    <text xml:space="preserve">European Commission: TCLF (Textiles, clothing, leather and footwear) industries
</text>
  </threadedComment>
  <threadedComment ref="E7" dT="2024-03-26T13:39:22.98" personId="{72DFAC19-5F7F-4978-8B90-1A362F17D3DC}" id="{3B6DF46A-8C79-4561-99E3-2C342C9BD160}">
    <text>https://en.wikipedia.org/wiki/Chemical_industry#/media/File:FEMA_-_37677_-_Aerial_of_a_Louisiana_oil_refinary_repaired_since_Katrina.jpg</text>
    <extLst>
      <x:ext xmlns:xltc2="http://schemas.microsoft.com/office/spreadsheetml/2020/threadedcomments2" uri="{F7C98A9C-CBB3-438F-8F68-D28B6AF4A901}">
        <xltc2:checksum>263727880</xltc2:checksum>
        <xltc2:hyperlink startIndex="0" length="136" url="https://en.wikipedia.org/wiki/Chemical_industry#/media/File:FEMA_-_37677_-_Aerial_of_a_Louisiana_oil_refinary_repaired_since_Katrina.jpg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4"/>
  <sheetViews>
    <sheetView tabSelected="1" workbookViewId="0">
      <selection activeCell="C16" sqref="C16"/>
    </sheetView>
  </sheetViews>
  <sheetFormatPr defaultColWidth="8.77734375" defaultRowHeight="14.4" x14ac:dyDescent="0.3"/>
  <cols>
    <col min="1" max="1" width="8.88671875" style="1" customWidth="1"/>
    <col min="2" max="2" width="45.5546875" style="4" customWidth="1"/>
    <col min="3" max="3" width="24.5546875" style="4" customWidth="1"/>
    <col min="4" max="4" width="15.5546875" style="4" customWidth="1"/>
    <col min="5" max="14" width="24.6640625" style="4" customWidth="1"/>
    <col min="15" max="16384" width="8.77734375" style="1"/>
  </cols>
  <sheetData>
    <row r="1" spans="1:14" s="2" customFormat="1" x14ac:dyDescent="0.3">
      <c r="A1" s="6" t="s">
        <v>0</v>
      </c>
      <c r="B1" s="7" t="s">
        <v>1</v>
      </c>
      <c r="C1" s="7" t="s">
        <v>119</v>
      </c>
      <c r="D1" s="7" t="s">
        <v>117</v>
      </c>
      <c r="E1" s="7" t="s">
        <v>2</v>
      </c>
      <c r="F1" s="7" t="s">
        <v>3</v>
      </c>
      <c r="G1" s="7" t="s">
        <v>4</v>
      </c>
      <c r="H1" s="7" t="s">
        <v>92</v>
      </c>
      <c r="I1" s="7" t="s">
        <v>93</v>
      </c>
      <c r="J1" s="7" t="s">
        <v>94</v>
      </c>
      <c r="K1" s="7" t="s">
        <v>95</v>
      </c>
      <c r="L1" s="7" t="s">
        <v>96</v>
      </c>
      <c r="M1" s="7" t="s">
        <v>113</v>
      </c>
      <c r="N1" s="7" t="s">
        <v>114</v>
      </c>
    </row>
    <row r="2" spans="1:14" x14ac:dyDescent="0.3">
      <c r="A2" s="8">
        <v>1</v>
      </c>
      <c r="B2" s="5" t="s">
        <v>15</v>
      </c>
      <c r="C2" s="5">
        <f>[1]Electricity_sales!$C$18+[1]Electricity_sales!$C$19+[1]Electricity_sales!$C$20</f>
        <v>22164.317094538503</v>
      </c>
      <c r="D2" s="5" t="s">
        <v>28</v>
      </c>
      <c r="E2" s="5" t="s">
        <v>43</v>
      </c>
      <c r="F2" s="5" t="s">
        <v>47</v>
      </c>
      <c r="G2" s="5" t="s">
        <v>53</v>
      </c>
      <c r="H2" s="5" t="s">
        <v>56</v>
      </c>
      <c r="I2" s="5" t="s">
        <v>104</v>
      </c>
      <c r="J2" s="5" t="s">
        <v>57</v>
      </c>
      <c r="K2" s="5" t="s">
        <v>58</v>
      </c>
      <c r="L2" s="5" t="s">
        <v>59</v>
      </c>
      <c r="M2" s="5"/>
      <c r="N2" s="5"/>
    </row>
    <row r="3" spans="1:14" ht="28.8" x14ac:dyDescent="0.3">
      <c r="A3" s="8">
        <v>2</v>
      </c>
      <c r="B3" s="5" t="s">
        <v>16</v>
      </c>
      <c r="C3" s="5">
        <f>[1]Electricity_sales!$C$21+[1]Electricity_sales!$C$22</f>
        <v>12541.207658118405</v>
      </c>
      <c r="D3" s="5" t="s">
        <v>29</v>
      </c>
      <c r="E3" s="5" t="s">
        <v>12</v>
      </c>
      <c r="F3" s="5" t="s">
        <v>42</v>
      </c>
      <c r="G3" s="5" t="s">
        <v>14</v>
      </c>
      <c r="H3" s="8" t="s">
        <v>63</v>
      </c>
      <c r="I3" s="5" t="s">
        <v>62</v>
      </c>
      <c r="J3" s="5" t="s">
        <v>60</v>
      </c>
      <c r="K3" s="5" t="s">
        <v>61</v>
      </c>
      <c r="L3" s="5"/>
      <c r="M3" s="5"/>
      <c r="N3" s="5"/>
    </row>
    <row r="4" spans="1:14" x14ac:dyDescent="0.3">
      <c r="A4" s="8">
        <v>3</v>
      </c>
      <c r="B4" s="5" t="s">
        <v>17</v>
      </c>
      <c r="C4" s="5">
        <f>[1]Electricity_sales!$C$23</f>
        <v>4509.4412362338717</v>
      </c>
      <c r="D4" s="5" t="s">
        <v>30</v>
      </c>
      <c r="E4" s="5" t="s">
        <v>13</v>
      </c>
      <c r="F4" s="5" t="s">
        <v>64</v>
      </c>
      <c r="G4" s="5" t="s">
        <v>100</v>
      </c>
      <c r="H4" s="5"/>
      <c r="I4" s="8"/>
      <c r="J4" s="8"/>
      <c r="K4" s="5"/>
      <c r="L4" s="5"/>
      <c r="M4" s="5"/>
      <c r="N4" s="5"/>
    </row>
    <row r="5" spans="1:14" x14ac:dyDescent="0.3">
      <c r="A5" s="8">
        <v>4</v>
      </c>
      <c r="B5" s="5" t="s">
        <v>18</v>
      </c>
      <c r="C5" s="5">
        <f>[1]Electricity_sales!$C$24</f>
        <v>6093.1519101721424</v>
      </c>
      <c r="D5" s="5" t="s">
        <v>31</v>
      </c>
      <c r="E5" s="5" t="s">
        <v>65</v>
      </c>
      <c r="F5" s="5" t="s">
        <v>66</v>
      </c>
      <c r="G5" s="5" t="s">
        <v>67</v>
      </c>
      <c r="H5" s="5" t="s">
        <v>46</v>
      </c>
      <c r="I5" s="5"/>
      <c r="J5" s="5"/>
      <c r="K5" s="5"/>
      <c r="L5" s="5"/>
      <c r="M5" s="5"/>
      <c r="N5" s="5"/>
    </row>
    <row r="6" spans="1:14" x14ac:dyDescent="0.3">
      <c r="A6" s="8">
        <v>5</v>
      </c>
      <c r="B6" s="5" t="s">
        <v>19</v>
      </c>
      <c r="C6" s="5">
        <f>[1]Electricity_sales!$C$25+[1]Electricity_sales!$C$26</f>
        <v>4242.3093153286209</v>
      </c>
      <c r="D6" s="5" t="s">
        <v>32</v>
      </c>
      <c r="E6" s="5" t="s">
        <v>68</v>
      </c>
      <c r="F6" s="5" t="s">
        <v>69</v>
      </c>
      <c r="G6" s="5"/>
      <c r="H6" s="5"/>
      <c r="I6" s="8"/>
      <c r="J6" s="8"/>
      <c r="K6" s="5"/>
      <c r="L6" s="5"/>
      <c r="M6" s="5"/>
      <c r="N6" s="5"/>
    </row>
    <row r="7" spans="1:14" x14ac:dyDescent="0.3">
      <c r="A7" s="8">
        <v>6</v>
      </c>
      <c r="B7" s="5" t="s">
        <v>20</v>
      </c>
      <c r="C7" s="5">
        <f>[1]Electricity_sales!$C$27</f>
        <v>231.51433145121709</v>
      </c>
      <c r="D7" s="5" t="s">
        <v>33</v>
      </c>
      <c r="E7" s="5" t="s">
        <v>70</v>
      </c>
      <c r="F7" s="5" t="s">
        <v>71</v>
      </c>
      <c r="G7" s="5" t="s">
        <v>72</v>
      </c>
      <c r="H7" s="8"/>
      <c r="I7" s="5"/>
      <c r="J7" s="5"/>
      <c r="K7" s="5"/>
      <c r="L7" s="5"/>
      <c r="M7" s="5"/>
      <c r="N7" s="5"/>
    </row>
    <row r="8" spans="1:14" x14ac:dyDescent="0.3">
      <c r="A8" s="8">
        <v>7</v>
      </c>
      <c r="B8" s="5" t="s">
        <v>21</v>
      </c>
      <c r="C8" s="5">
        <f>[1]Electricity_sales!$C$28</f>
        <v>2823.9660209983626</v>
      </c>
      <c r="D8" s="5" t="s">
        <v>34</v>
      </c>
      <c r="E8" s="5" t="s">
        <v>8</v>
      </c>
      <c r="F8" s="5" t="s">
        <v>7</v>
      </c>
      <c r="G8" s="5" t="s">
        <v>73</v>
      </c>
      <c r="H8" s="8" t="s">
        <v>97</v>
      </c>
      <c r="I8" s="5" t="s">
        <v>98</v>
      </c>
      <c r="J8" s="5" t="s">
        <v>99</v>
      </c>
      <c r="K8" s="5"/>
      <c r="L8" s="5"/>
      <c r="M8" s="5"/>
      <c r="N8" s="5"/>
    </row>
    <row r="9" spans="1:14" ht="28.8" x14ac:dyDescent="0.3">
      <c r="A9" s="8">
        <v>8</v>
      </c>
      <c r="B9" s="5" t="s">
        <v>22</v>
      </c>
      <c r="C9" s="5">
        <f>[1]Electricity_sales!$C$29</f>
        <v>9717.2416371200416</v>
      </c>
      <c r="D9" s="5" t="s">
        <v>35</v>
      </c>
      <c r="E9" s="5" t="s">
        <v>11</v>
      </c>
      <c r="F9" s="5" t="s">
        <v>74</v>
      </c>
      <c r="G9" s="5" t="s">
        <v>10</v>
      </c>
      <c r="H9" s="5" t="s">
        <v>75</v>
      </c>
      <c r="I9" s="5" t="s">
        <v>76</v>
      </c>
      <c r="J9" s="5" t="s">
        <v>77</v>
      </c>
      <c r="K9" s="5" t="s">
        <v>116</v>
      </c>
      <c r="L9" s="5"/>
      <c r="M9" s="5"/>
      <c r="N9" s="5"/>
    </row>
    <row r="10" spans="1:14" x14ac:dyDescent="0.3">
      <c r="A10" s="8">
        <v>9</v>
      </c>
      <c r="B10" s="5" t="s">
        <v>23</v>
      </c>
      <c r="C10" s="5">
        <f>[1]Electricity_sales!$C$30</f>
        <v>14496.358907791593</v>
      </c>
      <c r="D10" s="5" t="s">
        <v>36</v>
      </c>
      <c r="E10" s="8" t="s">
        <v>101</v>
      </c>
      <c r="F10" s="8" t="s">
        <v>102</v>
      </c>
      <c r="G10" s="8" t="s">
        <v>103</v>
      </c>
      <c r="H10" s="5" t="s">
        <v>52</v>
      </c>
      <c r="I10" s="8"/>
      <c r="J10" s="5"/>
      <c r="K10" s="5"/>
      <c r="L10" s="5"/>
      <c r="M10" s="5"/>
      <c r="N10" s="5"/>
    </row>
    <row r="11" spans="1:14" x14ac:dyDescent="0.3">
      <c r="A11" s="8">
        <v>10</v>
      </c>
      <c r="B11" s="5" t="s">
        <v>24</v>
      </c>
      <c r="C11" s="5">
        <f>[1]Electricity_sales!$C$31+[1]Electricity_sales!$C$32</f>
        <v>21912.449854827835</v>
      </c>
      <c r="D11" s="5" t="s">
        <v>37</v>
      </c>
      <c r="E11" s="5" t="s">
        <v>9</v>
      </c>
      <c r="F11" s="5" t="s">
        <v>6</v>
      </c>
      <c r="G11" s="5" t="s">
        <v>78</v>
      </c>
      <c r="H11" s="5" t="s">
        <v>80</v>
      </c>
      <c r="I11" s="5" t="s">
        <v>5</v>
      </c>
      <c r="J11" s="5" t="s">
        <v>45</v>
      </c>
      <c r="K11" s="8" t="s">
        <v>81</v>
      </c>
      <c r="L11" s="5" t="s">
        <v>79</v>
      </c>
      <c r="M11" s="5" t="s">
        <v>105</v>
      </c>
      <c r="N11" s="5" t="s">
        <v>106</v>
      </c>
    </row>
    <row r="12" spans="1:14" ht="28.8" x14ac:dyDescent="0.3">
      <c r="A12" s="8">
        <v>11</v>
      </c>
      <c r="B12" s="5" t="s">
        <v>25</v>
      </c>
      <c r="C12" s="5">
        <f>[1]Electricity_sales!$C$33</f>
        <v>2077.2686992298763</v>
      </c>
      <c r="D12" s="5" t="s">
        <v>38</v>
      </c>
      <c r="E12" s="5" t="s">
        <v>50</v>
      </c>
      <c r="F12" s="5" t="s">
        <v>54</v>
      </c>
      <c r="G12" s="8" t="s">
        <v>83</v>
      </c>
      <c r="H12" s="5" t="s">
        <v>82</v>
      </c>
      <c r="I12" s="5" t="s">
        <v>84</v>
      </c>
      <c r="J12" s="5" t="s">
        <v>85</v>
      </c>
      <c r="K12" s="5" t="s">
        <v>107</v>
      </c>
      <c r="L12" s="5" t="s">
        <v>111</v>
      </c>
      <c r="M12" s="5"/>
      <c r="N12" s="5"/>
    </row>
    <row r="13" spans="1:14" ht="28.8" x14ac:dyDescent="0.3">
      <c r="A13" s="8">
        <v>12</v>
      </c>
      <c r="B13" s="5" t="s">
        <v>120</v>
      </c>
      <c r="C13" s="10">
        <f>[2]Electricity_sales!$C$34+[2]Electricity_sales!$C$35</f>
        <v>11799.59856341478</v>
      </c>
      <c r="D13" s="5" t="s">
        <v>39</v>
      </c>
      <c r="E13" s="5" t="s">
        <v>44</v>
      </c>
      <c r="F13" s="5" t="s">
        <v>115</v>
      </c>
      <c r="G13" s="8" t="s">
        <v>87</v>
      </c>
      <c r="H13" s="8" t="s">
        <v>108</v>
      </c>
      <c r="I13" s="5" t="s">
        <v>88</v>
      </c>
      <c r="J13" s="5" t="s">
        <v>109</v>
      </c>
      <c r="K13" s="5"/>
      <c r="L13" s="5"/>
      <c r="M13" s="5"/>
      <c r="N13" s="5"/>
    </row>
    <row r="14" spans="1:14" x14ac:dyDescent="0.3">
      <c r="A14" s="8">
        <v>13</v>
      </c>
      <c r="B14" s="5" t="s">
        <v>26</v>
      </c>
      <c r="C14" s="5">
        <f>[1]Electricity_sales!$C$38</f>
        <v>962.94697202511725</v>
      </c>
      <c r="D14" s="5" t="s">
        <v>40</v>
      </c>
      <c r="E14" s="5" t="s">
        <v>51</v>
      </c>
      <c r="F14" s="8" t="s">
        <v>89</v>
      </c>
      <c r="G14" s="5" t="s">
        <v>86</v>
      </c>
      <c r="H14" s="5" t="s">
        <v>91</v>
      </c>
      <c r="I14" s="8" t="s">
        <v>110</v>
      </c>
      <c r="J14" s="9" t="s">
        <v>118</v>
      </c>
      <c r="K14" s="5"/>
      <c r="L14" s="5"/>
      <c r="M14" s="5"/>
      <c r="N14" s="5"/>
    </row>
    <row r="15" spans="1:14" ht="28.8" x14ac:dyDescent="0.3">
      <c r="A15" s="8">
        <v>14</v>
      </c>
      <c r="B15" s="5" t="s">
        <v>27</v>
      </c>
      <c r="C15" s="10">
        <f>[2]Electricity_sales!$C$36+[2]Electricity_sales!$C$37+[2]Electricity_sales!$C$39+[2]Electricity_sales!$C$40</f>
        <v>3017.3186494631154</v>
      </c>
      <c r="D15" s="5" t="s">
        <v>41</v>
      </c>
      <c r="E15" s="5" t="s">
        <v>46</v>
      </c>
      <c r="F15" s="8" t="s">
        <v>90</v>
      </c>
      <c r="G15" s="5" t="s">
        <v>48</v>
      </c>
      <c r="H15" s="5" t="s">
        <v>55</v>
      </c>
      <c r="I15" s="8" t="s">
        <v>112</v>
      </c>
      <c r="J15" s="5" t="s">
        <v>49</v>
      </c>
      <c r="K15" s="5"/>
      <c r="L15" s="5"/>
      <c r="M15" s="5"/>
      <c r="N15" s="5"/>
    </row>
    <row r="19" spans="2:4" x14ac:dyDescent="0.3">
      <c r="B19" s="3"/>
      <c r="C19" s="3"/>
      <c r="D19" s="3"/>
    </row>
    <row r="24" spans="2:4" x14ac:dyDescent="0.3">
      <c r="B24" s="1"/>
      <c r="C24" s="1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Vanniya Perumal, S.R. (Surender Raj)</dc:creator>
  <cp:lastModifiedBy>Ye, M.</cp:lastModifiedBy>
  <dcterms:created xsi:type="dcterms:W3CDTF">2015-06-05T18:17:20Z</dcterms:created>
  <dcterms:modified xsi:type="dcterms:W3CDTF">2025-05-25T14:10:39Z</dcterms:modified>
</cp:coreProperties>
</file>