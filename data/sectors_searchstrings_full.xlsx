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X:\BETA-IVM-BAZIS\mye500\projects\Map2Grid\data\"/>
    </mc:Choice>
  </mc:AlternateContent>
  <xr:revisionPtr revIDLastSave="0" documentId="13_ncr:1_{2EAC9EF3-877A-4B54-8367-9A36FF5A0864}" xr6:coauthVersionLast="47" xr6:coauthVersionMax="47" xr10:uidLastSave="{00000000-0000-0000-0000-000000000000}"/>
  <bookViews>
    <workbookView xWindow="-103" yWindow="-103" windowWidth="19543" windowHeight="12377" xr2:uid="{00000000-000D-0000-FFFF-FFFF00000000}"/>
  </bookViews>
  <sheets>
    <sheet name="Sheet1" sheetId="1" r:id="rId1"/>
    <sheet name="stats_by_economic_sector" sheetId="2" r:id="rId2"/>
    <sheet name="stats_by_province_2023" sheetId="4" r:id="rId3"/>
    <sheet name="data_source" sheetId="5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E2" i="1"/>
  <c r="E3" i="1"/>
  <c r="F2" i="1"/>
  <c r="G2" i="1"/>
  <c r="H2" i="1"/>
  <c r="F3" i="1"/>
  <c r="G3" i="1"/>
  <c r="H3" i="1"/>
  <c r="F4" i="1"/>
  <c r="G4" i="1"/>
  <c r="H4" i="1"/>
  <c r="F5" i="1"/>
  <c r="G5" i="1"/>
  <c r="H5" i="1"/>
  <c r="F6" i="1"/>
  <c r="G6" i="1"/>
  <c r="H6" i="1"/>
  <c r="F7" i="1"/>
  <c r="G7" i="1"/>
  <c r="H7" i="1"/>
  <c r="F8" i="1"/>
  <c r="G8" i="1"/>
  <c r="H8" i="1"/>
  <c r="F9" i="1"/>
  <c r="G9" i="1"/>
  <c r="H9" i="1"/>
  <c r="F10" i="1"/>
  <c r="G10" i="1"/>
  <c r="H10" i="1"/>
  <c r="F11" i="1"/>
  <c r="G11" i="1"/>
  <c r="H11" i="1"/>
  <c r="F12" i="1"/>
  <c r="G12" i="1"/>
  <c r="H12" i="1"/>
  <c r="F13" i="1"/>
  <c r="G13" i="1"/>
  <c r="H13" i="1"/>
  <c r="F14" i="1"/>
  <c r="G14" i="1"/>
  <c r="H14" i="1"/>
  <c r="F15" i="1"/>
  <c r="G15" i="1"/>
  <c r="H15" i="1"/>
  <c r="E5" i="1"/>
  <c r="E15" i="1"/>
  <c r="E14" i="1"/>
  <c r="E13" i="1"/>
  <c r="E12" i="1"/>
  <c r="E11" i="1"/>
  <c r="E10" i="1"/>
  <c r="E9" i="1"/>
  <c r="E8" i="1"/>
  <c r="E7" i="1"/>
  <c r="E6" i="1"/>
  <c r="E4" i="1"/>
  <c r="C13" i="1"/>
  <c r="C2" i="1"/>
  <c r="C7" i="1"/>
  <c r="C12" i="1"/>
  <c r="C9" i="1"/>
  <c r="C14" i="1"/>
  <c r="C5" i="1"/>
  <c r="C4" i="1"/>
  <c r="C3" i="1"/>
  <c r="C10" i="1"/>
  <c r="C8" i="1"/>
  <c r="C15" i="1" l="1"/>
  <c r="C6" i="1"/>
  <c r="C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tc={D49F7B4E-9F47-496D-87D6-85123C51BDF2}</author>
    <author>tc={3B6DF46A-8C79-4561-99E3-2C342C9BD160}</author>
  </authors>
  <commentList>
    <comment ref="B3" authorId="0" shapeId="0" xr:uid="{D49F7B4E-9F47-496D-87D6-85123C51BDF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European Commission: TCLF (Textiles, clothing, leather and footwear) industries
</t>
      </text>
    </comment>
    <comment ref="J7" authorId="1" shapeId="0" xr:uid="{3B6DF46A-8C79-4561-99E3-2C342C9BD16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https://en.wikipedia.org/wiki/Chemical_industry#/media/File:FEMA_-_37677_-_Aerial_of_a_Louisiana_oil_refinary_repaired_since_Katrina.jpg</t>
      </text>
    </comment>
  </commentList>
</comments>
</file>

<file path=xl/sharedStrings.xml><?xml version="1.0" encoding="utf-8"?>
<sst xmlns="http://schemas.openxmlformats.org/spreadsheetml/2006/main" count="239" uniqueCount="230">
  <si>
    <t>sector_id</t>
  </si>
  <si>
    <t>sector_aggregated</t>
  </si>
  <si>
    <t>string_1</t>
  </si>
  <si>
    <t>string_2</t>
  </si>
  <si>
    <t>string_3</t>
  </si>
  <si>
    <t>Steel fabricator</t>
  </si>
  <si>
    <t>Metal processing company</t>
  </si>
  <si>
    <t>Chemical manufacturer</t>
  </si>
  <si>
    <t>Chemical plant</t>
  </si>
  <si>
    <t>Metal fabricator</t>
  </si>
  <si>
    <t xml:space="preserve">Plastic fabrication company </t>
  </si>
  <si>
    <t>Rubber products supplier</t>
  </si>
  <si>
    <t>Clothes and fabric manufacturer</t>
  </si>
  <si>
    <t>Leather goods manufacturer</t>
  </si>
  <si>
    <t>Textile mills</t>
  </si>
  <si>
    <t>Food, beverages, and tobacco</t>
  </si>
  <si>
    <t>Textiles and textile products</t>
  </si>
  <si>
    <t>Leather, leather products, and footwear</t>
  </si>
  <si>
    <t>Wood and products of wood and cork</t>
  </si>
  <si>
    <t>Pulp, paper, paper products, printing, and publishing</t>
  </si>
  <si>
    <t>Coke, refined petroleum, and nuclear fuel</t>
  </si>
  <si>
    <t>Chemicals and chemical products</t>
  </si>
  <si>
    <t>Rubber and plastics</t>
  </si>
  <si>
    <t>Other nonmetallic minerals</t>
  </si>
  <si>
    <t>Basic metals and fabricated metal</t>
  </si>
  <si>
    <t>Machinery, nec</t>
  </si>
  <si>
    <t>Transport equipment</t>
  </si>
  <si>
    <t>Manufacturing, nec; recycling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</si>
  <si>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</si>
  <si>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</si>
  <si>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</si>
  <si>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</si>
  <si>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</si>
  <si>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</si>
  <si>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</si>
  <si>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</si>
  <si>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</si>
  <si>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</si>
  <si>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</si>
  <si>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</si>
  <si>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</si>
  <si>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</si>
  <si>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Fabric product manufacturer</t>
  </si>
  <si>
    <t>Food manufacturer</t>
  </si>
  <si>
    <t>Electronics manufacturer</t>
  </si>
  <si>
    <t>Steel distributor</t>
  </si>
  <si>
    <t>Furniture manufacturer</t>
  </si>
  <si>
    <t>Food processing company</t>
  </si>
  <si>
    <t>Tool manufacturer</t>
  </si>
  <si>
    <t>Packaging company</t>
  </si>
  <si>
    <t>Machining manufacturer</t>
  </si>
  <si>
    <t>Car manufacturer</t>
  </si>
  <si>
    <t>Glass manufacturer</t>
  </si>
  <si>
    <t>Frozen food manufacturer</t>
  </si>
  <si>
    <t>Machinery parts manufacturer</t>
  </si>
  <si>
    <t>Cosmetic products manufacturer</t>
  </si>
  <si>
    <t>Food products supplier</t>
  </si>
  <si>
    <t>Food and beverage exporter</t>
  </si>
  <si>
    <t>Beverage distributor</t>
  </si>
  <si>
    <t>Tobacco supplier</t>
  </si>
  <si>
    <t>Clothing supplier</t>
  </si>
  <si>
    <t>Knitwear manufacturer</t>
  </si>
  <si>
    <t>Fabric wholesaler</t>
  </si>
  <si>
    <t>Cotton mill</t>
  </si>
  <si>
    <t>Leather goods supplier</t>
  </si>
  <si>
    <t>Plywood supplier</t>
  </si>
  <si>
    <t>Saw mill</t>
  </si>
  <si>
    <t>Wood supplier</t>
  </si>
  <si>
    <t>Paper mill</t>
  </si>
  <si>
    <t>Paper distributor</t>
  </si>
  <si>
    <t>Oil refinery</t>
  </si>
  <si>
    <t>Oil &amp; natural gas company</t>
  </si>
  <si>
    <t>Fuel supplier</t>
  </si>
  <si>
    <t>Chemical industry</t>
  </si>
  <si>
    <t>Foam rubber producer</t>
  </si>
  <si>
    <t>Plastic products supplier</t>
  </si>
  <si>
    <t>Plastic injection molding service</t>
  </si>
  <si>
    <t>Plastic resin manufacturer</t>
  </si>
  <si>
    <t>Metal industry suppliers</t>
  </si>
  <si>
    <t>Steel construction company</t>
  </si>
  <si>
    <t>Metal supplier</t>
  </si>
  <si>
    <t>Stainless steel plant</t>
  </si>
  <si>
    <t>Agricultural machinery manufacturer</t>
  </si>
  <si>
    <t>Mechanical plant</t>
  </si>
  <si>
    <t>Industrial equipment supplier</t>
  </si>
  <si>
    <t>Construction equipment supplier</t>
  </si>
  <si>
    <t>Auto parts manufacturer</t>
  </si>
  <si>
    <t>Electronic parts supplier</t>
  </si>
  <si>
    <t>Optical products manufacturer</t>
  </si>
  <si>
    <t>Car factory</t>
  </si>
  <si>
    <t>Recycling center</t>
  </si>
  <si>
    <t>Auto body parts supplier</t>
  </si>
  <si>
    <t>string_4</t>
  </si>
  <si>
    <t>string_5</t>
  </si>
  <si>
    <t>string_6</t>
  </si>
  <si>
    <t>string_7</t>
  </si>
  <si>
    <t>string_8</t>
  </si>
  <si>
    <t>Pharmaceutical company</t>
  </si>
  <si>
    <t>Industrial gas supplier</t>
  </si>
  <si>
    <t>Fertilizer supplier</t>
  </si>
  <si>
    <t>Shoe factory</t>
  </si>
  <si>
    <t>Cement manufacturer</t>
  </si>
  <si>
    <t>Ceramic manufacturer</t>
  </si>
  <si>
    <t>Pottery manufacturer</t>
  </si>
  <si>
    <t>Food manufacturing supply</t>
  </si>
  <si>
    <t>Foundry</t>
  </si>
  <si>
    <t>Aluminum supplier</t>
  </si>
  <si>
    <t>Food machinery supplier</t>
  </si>
  <si>
    <t>Semi conductor supplier</t>
  </si>
  <si>
    <t>Telecommunications equipment supplier</t>
  </si>
  <si>
    <t>Shipyard</t>
  </si>
  <si>
    <t>Material handling equipment supplier</t>
  </si>
  <si>
    <t>Metalware producer</t>
  </si>
  <si>
    <t>string_9</t>
  </si>
  <si>
    <t>string_10</t>
  </si>
  <si>
    <t>Electrical equipment manufacturer</t>
  </si>
  <si>
    <t>Tyre manufacturer</t>
  </si>
  <si>
    <t>sector_code</t>
  </si>
  <si>
    <t>Shipping company</t>
  </si>
  <si>
    <t>electricity_demand</t>
  </si>
  <si>
    <t>From 10 to under 50 bill. Dongs</t>
  </si>
  <si>
    <t>From 50 to under 200 bill. dongs</t>
  </si>
  <si>
    <t>From 200 to under 500 bill. Dongs</t>
  </si>
  <si>
    <t>From 500 bill. dongs and over</t>
  </si>
  <si>
    <t>Repair and installation of machinery and equipment</t>
  </si>
  <si>
    <t>Other manufacturing</t>
  </si>
  <si>
    <t>Manufacture of furniture</t>
  </si>
  <si>
    <t>Manufacture of other transport equipment</t>
  </si>
  <si>
    <t>Manufacture of motor vehicles; trailers and semi-trailers</t>
  </si>
  <si>
    <t>Manufacture of machinery and equipment n.e.c</t>
  </si>
  <si>
    <t>Manufacture of electrical equipment</t>
  </si>
  <si>
    <t>Manufacture of computer, electronic and optical products</t>
  </si>
  <si>
    <t>Manufacture of fabricated metal products (except machinery and equipment)</t>
  </si>
  <si>
    <t>Manufacture of basic metals</t>
  </si>
  <si>
    <t>Manufacture of other non-metallic mineral products</t>
  </si>
  <si>
    <t>Manufacture of rubber and plastics products</t>
  </si>
  <si>
    <t>Manufacture of pharmaceuticals, medicinal chemical and botanical products</t>
  </si>
  <si>
    <t>Manufacture of chemicals and chemical products</t>
  </si>
  <si>
    <t>Manufacture of coke and refined petroleum products</t>
  </si>
  <si>
    <t>Printing and reproduction of recorded media</t>
  </si>
  <si>
    <t>Manufacture of paper and paper products</t>
  </si>
  <si>
    <t>Manufacture of wood and of products of wood and cork (except furniture)</t>
  </si>
  <si>
    <t>Manufacture of leather and related products</t>
  </si>
  <si>
    <t>Manufacture of wearing apparel</t>
  </si>
  <si>
    <t>Manufacture of textiles</t>
  </si>
  <si>
    <t>Manufacture of tobacco products</t>
  </si>
  <si>
    <t>Manufacture of beverages</t>
  </si>
  <si>
    <t>Manufacture of food products</t>
  </si>
  <si>
    <t>Manufacturing</t>
  </si>
  <si>
    <t>From 10 to under 50 bill. dongs</t>
  </si>
  <si>
    <t>Nec.</t>
  </si>
  <si>
    <t>Mekong River Delta</t>
  </si>
  <si>
    <t>South East</t>
  </si>
  <si>
    <t>Central Highlands</t>
  </si>
  <si>
    <t>Northern Central area and Central coastal area</t>
  </si>
  <si>
    <t>Northern midlands and mountain areas</t>
  </si>
  <si>
    <t>Red River Delta</t>
  </si>
  <si>
    <t>Total</t>
  </si>
  <si>
    <t>WHOLE COUNTRY</t>
  </si>
  <si>
    <t>Ha Noi</t>
  </si>
  <si>
    <t>Vinh Phuc</t>
  </si>
  <si>
    <t>Bac Ninh</t>
  </si>
  <si>
    <t>Quang Ninh</t>
  </si>
  <si>
    <t>Hai Duong</t>
  </si>
  <si>
    <t>Hai Phong</t>
  </si>
  <si>
    <t>Hung Yen</t>
  </si>
  <si>
    <t>Thai Binh</t>
  </si>
  <si>
    <t>Ha Nam</t>
  </si>
  <si>
    <t>Nam Dinh</t>
  </si>
  <si>
    <t>Ninh Binh</t>
  </si>
  <si>
    <t>Ha Giang</t>
  </si>
  <si>
    <t>Cao Bang</t>
  </si>
  <si>
    <t>Bac Kan</t>
  </si>
  <si>
    <t>Tuyen Quang</t>
  </si>
  <si>
    <t>Lao Cai</t>
  </si>
  <si>
    <t>Yen Bai</t>
  </si>
  <si>
    <t>Thai Nguyen</t>
  </si>
  <si>
    <t>Lang Son</t>
  </si>
  <si>
    <t>Bac Giang</t>
  </si>
  <si>
    <t>Phu Tho</t>
  </si>
  <si>
    <t>Dien Bien</t>
  </si>
  <si>
    <t>Lai Chau</t>
  </si>
  <si>
    <t>Son La</t>
  </si>
  <si>
    <t>Hoa Binh</t>
  </si>
  <si>
    <t>Thanh Hoa</t>
  </si>
  <si>
    <t>Nghe An</t>
  </si>
  <si>
    <t>Ha Tinh</t>
  </si>
  <si>
    <t>Quang Binh</t>
  </si>
  <si>
    <t>Quang Tri</t>
  </si>
  <si>
    <t>Thua Thien-Hue</t>
  </si>
  <si>
    <t>Da Nang</t>
  </si>
  <si>
    <t>Quang Nam</t>
  </si>
  <si>
    <t>Quang Ngai</t>
  </si>
  <si>
    <t>Binh Dinh</t>
  </si>
  <si>
    <t>Phu Yen</t>
  </si>
  <si>
    <t>Khanh Hoa</t>
  </si>
  <si>
    <t>Ninh Thuan</t>
  </si>
  <si>
    <t>Binh Thuan</t>
  </si>
  <si>
    <t>Kon Tum</t>
  </si>
  <si>
    <t>Gia Lai</t>
  </si>
  <si>
    <t>Dak Lak</t>
  </si>
  <si>
    <t>Dak Nong</t>
  </si>
  <si>
    <t>Lam Dong</t>
  </si>
  <si>
    <t>Binh Phuoc</t>
  </si>
  <si>
    <t>Tay Ninh</t>
  </si>
  <si>
    <t>Binh Duong</t>
  </si>
  <si>
    <t>Dong Nai</t>
  </si>
  <si>
    <t>Ba Ria - Vung Tau</t>
  </si>
  <si>
    <t>Ho Chi Minh city</t>
  </si>
  <si>
    <t>Long An</t>
  </si>
  <si>
    <t>Tien Giang</t>
  </si>
  <si>
    <t>Ben Tre</t>
  </si>
  <si>
    <t>Tra Vinh</t>
  </si>
  <si>
    <t>Vinh Long</t>
  </si>
  <si>
    <t>Dong Thap</t>
  </si>
  <si>
    <t>An Giang</t>
  </si>
  <si>
    <t>Kien Giang</t>
  </si>
  <si>
    <t>Can Tho</t>
  </si>
  <si>
    <t>Hau Giang</t>
  </si>
  <si>
    <t>Soc Trang</t>
  </si>
  <si>
    <t>Bac Lieu</t>
  </si>
  <si>
    <t>Ca Mau</t>
  </si>
  <si>
    <t>Electrical and optical equipment</t>
  </si>
  <si>
    <t>Province</t>
  </si>
  <si>
    <t>Data source</t>
  </si>
  <si>
    <t>https://www.nso.gov.vn/en/enterprises/</t>
  </si>
  <si>
    <t>stats_by economic_sector</t>
  </si>
  <si>
    <t>stats_by_province</t>
  </si>
  <si>
    <t>https://www.nso.gov.vn/en/px-web/?pxid=E0528&amp;theme=Enterprise</t>
  </si>
  <si>
    <t>https://www.nso.gov.vn/en/px-web/?pxid=E0529&amp;theme=Enterprise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</si>
</sst>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222222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11"/>
      <color rgb="FF22222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1E1E1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A9A9A9"/>
      </left>
      <right style="medium">
        <color rgb="FFA9A9A9"/>
      </right>
      <top style="medium">
        <color rgb="FFA9A9A9"/>
      </top>
      <bottom style="medium">
        <color rgb="FFA9A9A9"/>
      </bottom>
      <diagonal/>
    </border>
    <border>
      <left style="medium">
        <color rgb="FFA9A9A9"/>
      </left>
      <right/>
      <top style="medium">
        <color rgb="FFA9A9A9"/>
      </top>
      <bottom style="medium">
        <color rgb="FFA9A9A9"/>
      </bottom>
      <diagonal/>
    </border>
    <border>
      <left/>
      <right style="medium">
        <color rgb="FFA9A9A9"/>
      </right>
      <top style="medium">
        <color rgb="FFA9A9A9"/>
      </top>
      <bottom style="medium">
        <color rgb="FFA9A9A9"/>
      </bottom>
      <diagonal/>
    </border>
    <border>
      <left/>
      <right style="medium">
        <color rgb="FFA9A9A9"/>
      </right>
      <top/>
      <bottom style="medium">
        <color rgb="FFA9A9A9"/>
      </bottom>
      <diagonal/>
    </border>
    <border>
      <left/>
      <right/>
      <top/>
      <bottom style="medium">
        <color rgb="FFA9A9A9"/>
      </bottom>
      <diagonal/>
    </border>
    <border>
      <left style="medium">
        <color rgb="FFA9A9A9"/>
      </left>
      <right/>
      <top/>
      <bottom style="medium">
        <color rgb="FFA9A9A9"/>
      </bottom>
      <diagonal/>
    </border>
    <border>
      <left/>
      <right style="medium">
        <color rgb="FFA9A9A9"/>
      </right>
      <top/>
      <bottom/>
      <diagonal/>
    </border>
    <border>
      <left style="medium">
        <color rgb="FFA9A9A9"/>
      </left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1" fontId="3" fillId="0" borderId="0" xfId="0" applyNumberFormat="1" applyFont="1" applyAlignment="1">
      <alignment horizontal="center" vertical="top" wrapText="1"/>
    </xf>
    <xf numFmtId="0" fontId="6" fillId="2" borderId="1" xfId="0" applyFont="1" applyFill="1" applyBorder="1" applyAlignment="1">
      <alignment vertical="top" wrapText="1"/>
    </xf>
    <xf numFmtId="0" fontId="6" fillId="2" borderId="2" xfId="0" applyFont="1" applyFill="1" applyBorder="1" applyAlignment="1">
      <alignment vertical="top" wrapText="1"/>
    </xf>
    <xf numFmtId="3" fontId="7" fillId="0" borderId="0" xfId="0" applyNumberFormat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/>
    <xf numFmtId="0" fontId="0" fillId="0" borderId="0" xfId="0" applyFont="1" applyAlignment="1">
      <alignment vertical="top" wrapText="1"/>
    </xf>
    <xf numFmtId="0" fontId="9" fillId="2" borderId="7" xfId="0" applyFont="1" applyFill="1" applyBorder="1" applyAlignment="1">
      <alignment horizontal="right" vertical="top" wrapText="1"/>
    </xf>
    <xf numFmtId="0" fontId="9" fillId="2" borderId="4" xfId="0" applyFont="1" applyFill="1" applyBorder="1" applyAlignment="1">
      <alignment horizontal="right" vertical="top" wrapText="1"/>
    </xf>
    <xf numFmtId="3" fontId="10" fillId="3" borderId="1" xfId="0" applyNumberFormat="1" applyFont="1" applyFill="1" applyBorder="1" applyAlignment="1">
      <alignment horizontal="right" vertical="top" wrapText="1"/>
    </xf>
    <xf numFmtId="3" fontId="10" fillId="3" borderId="2" xfId="0" applyNumberFormat="1" applyFont="1" applyFill="1" applyBorder="1" applyAlignment="1">
      <alignment horizontal="right" vertical="top" wrapText="1"/>
    </xf>
    <xf numFmtId="0" fontId="10" fillId="3" borderId="1" xfId="0" applyFont="1" applyFill="1" applyBorder="1" applyAlignment="1">
      <alignment horizontal="right" vertical="top" wrapText="1"/>
    </xf>
    <xf numFmtId="0" fontId="10" fillId="3" borderId="2" xfId="0" applyFont="1" applyFill="1" applyBorder="1" applyAlignment="1">
      <alignment horizontal="right" vertical="top" wrapText="1"/>
    </xf>
    <xf numFmtId="0" fontId="11" fillId="2" borderId="6" xfId="0" applyFont="1" applyFill="1" applyBorder="1" applyAlignment="1">
      <alignment horizontal="left" vertical="top" wrapText="1"/>
    </xf>
    <xf numFmtId="0" fontId="11" fillId="2" borderId="5" xfId="0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horizontal="left" vertical="top" wrapText="1"/>
    </xf>
    <xf numFmtId="0" fontId="11" fillId="2" borderId="2" xfId="0" applyFont="1" applyFill="1" applyBorder="1" applyAlignment="1">
      <alignment horizontal="left" vertical="top" wrapText="1"/>
    </xf>
    <xf numFmtId="0" fontId="12" fillId="2" borderId="3" xfId="0" applyFont="1" applyFill="1" applyBorder="1" applyAlignment="1">
      <alignment horizontal="left" vertical="top" wrapText="1"/>
    </xf>
    <xf numFmtId="0" fontId="11" fillId="2" borderId="3" xfId="0" applyFont="1" applyFill="1" applyBorder="1" applyAlignment="1">
      <alignment horizontal="left" vertical="top" wrapText="1"/>
    </xf>
    <xf numFmtId="3" fontId="9" fillId="3" borderId="1" xfId="0" applyNumberFormat="1" applyFont="1" applyFill="1" applyBorder="1" applyAlignment="1">
      <alignment horizontal="right" vertical="top" wrapText="1"/>
    </xf>
    <xf numFmtId="3" fontId="9" fillId="3" borderId="2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vertical="top" wrapText="1"/>
    </xf>
    <xf numFmtId="0" fontId="9" fillId="3" borderId="1" xfId="0" applyFont="1" applyFill="1" applyBorder="1" applyAlignment="1">
      <alignment horizontal="right" vertical="top" wrapText="1"/>
    </xf>
    <xf numFmtId="0" fontId="9" fillId="3" borderId="2" xfId="0" applyFont="1" applyFill="1" applyBorder="1" applyAlignment="1">
      <alignment horizontal="right" vertical="top" wrapText="1"/>
    </xf>
    <xf numFmtId="0" fontId="11" fillId="2" borderId="8" xfId="0" applyFont="1" applyFill="1" applyBorder="1" applyAlignment="1">
      <alignment horizontal="left" vertical="top" wrapText="1"/>
    </xf>
    <xf numFmtId="3" fontId="0" fillId="0" borderId="0" xfId="0" applyNumberFormat="1" applyFont="1" applyAlignment="1">
      <alignment vertical="top" wrapText="1"/>
    </xf>
    <xf numFmtId="0" fontId="9" fillId="2" borderId="4" xfId="0" applyFont="1" applyFill="1" applyBorder="1" applyAlignment="1">
      <alignment horizontal="left" vertical="top" wrapText="1"/>
    </xf>
    <xf numFmtId="0" fontId="8" fillId="0" borderId="0" xfId="1"/>
    <xf numFmtId="0" fontId="8" fillId="0" borderId="0" xfId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mye500\projects\Map2Grid\data\Vietanm_electricity_statistics.xlsx" TargetMode="External"/><Relationship Id="rId1" Type="http://schemas.openxmlformats.org/officeDocument/2006/relationships/externalLinkPath" Target="/mye500/projects/Map2Grid/data/Vietanm_electricity_statistic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BETA-IVM-BAZIS\mye500\projects\Map2Grid\data\Vietanm_electricity_statistics.xlsx" TargetMode="External"/><Relationship Id="rId1" Type="http://schemas.openxmlformats.org/officeDocument/2006/relationships/externalLinkPath" Target="Vietanm_electricity_statist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alled_capacity"/>
      <sheetName val="Power_generation"/>
      <sheetName val="Summary_cheet"/>
      <sheetName val="Electricity_sales"/>
      <sheetName val="Notes"/>
    </sheetNames>
    <sheetDataSet>
      <sheetData sheetId="0"/>
      <sheetData sheetId="1"/>
      <sheetData sheetId="2"/>
      <sheetData sheetId="3">
        <row r="18">
          <cell r="C18">
            <v>17667.596425966785</v>
          </cell>
        </row>
        <row r="19">
          <cell r="C19">
            <v>4255.0298829907761</v>
          </cell>
        </row>
        <row r="20">
          <cell r="C20">
            <v>241.69078558094094</v>
          </cell>
        </row>
        <row r="21">
          <cell r="C21">
            <v>8423.5599058788994</v>
          </cell>
        </row>
        <row r="22">
          <cell r="C22">
            <v>4117.6477522395044</v>
          </cell>
        </row>
        <row r="23">
          <cell r="C23">
            <v>4509.4412362338717</v>
          </cell>
        </row>
        <row r="24">
          <cell r="C24">
            <v>6093.1519101721424</v>
          </cell>
        </row>
        <row r="25">
          <cell r="C25">
            <v>3788.1850497896953</v>
          </cell>
        </row>
        <row r="26">
          <cell r="C26">
            <v>454.12426553892584</v>
          </cell>
        </row>
        <row r="27">
          <cell r="C27">
            <v>231.51433145121709</v>
          </cell>
        </row>
        <row r="28">
          <cell r="C28">
            <v>2823.9660209983626</v>
          </cell>
        </row>
        <row r="29">
          <cell r="C29">
            <v>9717.2416371200416</v>
          </cell>
        </row>
        <row r="30">
          <cell r="C30">
            <v>14496.358907791593</v>
          </cell>
        </row>
        <row r="31">
          <cell r="C31">
            <v>10902.798543232866</v>
          </cell>
        </row>
        <row r="32">
          <cell r="C32">
            <v>11009.651311594967</v>
          </cell>
        </row>
        <row r="33">
          <cell r="C33">
            <v>2077.2686992298763</v>
          </cell>
        </row>
        <row r="38">
          <cell r="C38">
            <v>962.94697202511725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alled_capacity"/>
      <sheetName val="Power_generation"/>
      <sheetName val="Summary_cheet"/>
      <sheetName val="Electricity_sales"/>
      <sheetName val="Notes"/>
    </sheetNames>
    <sheetDataSet>
      <sheetData sheetId="0"/>
      <sheetData sheetId="1"/>
      <sheetData sheetId="2"/>
      <sheetData sheetId="3">
        <row r="34">
          <cell r="C34">
            <v>3325.1563868872609</v>
          </cell>
        </row>
        <row r="35">
          <cell r="C35">
            <v>8474.4421765275183</v>
          </cell>
        </row>
        <row r="36">
          <cell r="C36">
            <v>1152.4834301912235</v>
          </cell>
        </row>
        <row r="37">
          <cell r="C37">
            <v>465.57277643486515</v>
          </cell>
        </row>
        <row r="39">
          <cell r="C39">
            <v>465.57277643486515</v>
          </cell>
        </row>
        <row r="40">
          <cell r="C40">
            <v>933.68966640216138</v>
          </cell>
        </row>
      </sheetData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Ye, M. (Mengqi)" id="{72DFAC19-5F7F-4978-8B90-1A362F17D3DC}" userId="S::mengqi.ye@vu.nl::45fa2f73-6ae4-4a35-b8cc-8fdf1d8faf5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4-03-26T14:58:07.09" personId="{72DFAC19-5F7F-4978-8B90-1A362F17D3DC}" id="{D49F7B4E-9F47-496D-87D6-85123C51BDF2}">
    <text xml:space="preserve">European Commission: TCLF (Textiles, clothing, leather and footwear) industries
</text>
  </threadedComment>
  <threadedComment ref="J7" dT="2024-03-26T13:39:22.98" personId="{72DFAC19-5F7F-4978-8B90-1A362F17D3DC}" id="{3B6DF46A-8C79-4561-99E3-2C342C9BD160}">
    <text>https://en.wikipedia.org/wiki/Chemical_industry#/media/File:FEMA_-_37677_-_Aerial_of_a_Louisiana_oil_refinary_repaired_since_Katrina.jpg</text>
    <extLst>
      <x:ext xmlns:xltc2="http://schemas.microsoft.com/office/spreadsheetml/2020/threadedcomments2" uri="{F7C98A9C-CBB3-438F-8F68-D28B6AF4A901}">
        <xltc2:checksum>263727880</xltc2:checksum>
        <xltc2:hyperlink startIndex="0" length="136" url="https://en.wikipedia.org/wiki/Chemical_industry#/media/File:FEMA_-_37677_-_Aerial_of_a_Louisiana_oil_refinary_repaired_since_Katrina.jpg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so.gov.vn/en/enterprises/" TargetMode="External"/><Relationship Id="rId2" Type="http://schemas.openxmlformats.org/officeDocument/2006/relationships/hyperlink" Target="https://www.nso.gov.vn/en/px-web/?pxid=E0529&amp;theme=Enterprise" TargetMode="External"/><Relationship Id="rId1" Type="http://schemas.openxmlformats.org/officeDocument/2006/relationships/hyperlink" Target="https://www.nso.gov.vn/en/px-web/?pxid=E0528&amp;theme=Enterpri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tabSelected="1" workbookViewId="0">
      <selection activeCell="B15" sqref="B15"/>
    </sheetView>
  </sheetViews>
  <sheetFormatPr defaultColWidth="8.77734375" defaultRowHeight="14.4" x14ac:dyDescent="0.3"/>
  <cols>
    <col min="1" max="1" width="8.88671875" style="1" customWidth="1"/>
    <col min="2" max="2" width="45.5546875" style="4" customWidth="1"/>
    <col min="3" max="3" width="24.5546875" style="4" customWidth="1"/>
    <col min="4" max="9" width="15.5546875" style="4" customWidth="1"/>
    <col min="10" max="19" width="24.6640625" style="4" customWidth="1"/>
    <col min="20" max="16384" width="8.77734375" style="1"/>
  </cols>
  <sheetData>
    <row r="1" spans="1:19" s="2" customFormat="1" ht="43.8" thickBot="1" x14ac:dyDescent="0.35">
      <c r="A1" s="6" t="s">
        <v>0</v>
      </c>
      <c r="B1" s="7" t="s">
        <v>1</v>
      </c>
      <c r="C1" s="7" t="s">
        <v>119</v>
      </c>
      <c r="D1" s="7" t="s">
        <v>117</v>
      </c>
      <c r="E1" s="11" t="s">
        <v>120</v>
      </c>
      <c r="F1" s="11" t="s">
        <v>121</v>
      </c>
      <c r="G1" s="11" t="s">
        <v>122</v>
      </c>
      <c r="H1" s="12" t="s">
        <v>123</v>
      </c>
      <c r="I1" s="12" t="s">
        <v>157</v>
      </c>
      <c r="J1" s="7" t="s">
        <v>2</v>
      </c>
      <c r="K1" s="7" t="s">
        <v>3</v>
      </c>
      <c r="L1" s="7" t="s">
        <v>4</v>
      </c>
      <c r="M1" s="7" t="s">
        <v>92</v>
      </c>
      <c r="N1" s="7" t="s">
        <v>93</v>
      </c>
      <c r="O1" s="7" t="s">
        <v>94</v>
      </c>
      <c r="P1" s="7" t="s">
        <v>95</v>
      </c>
      <c r="Q1" s="7" t="s">
        <v>96</v>
      </c>
      <c r="R1" s="7" t="s">
        <v>113</v>
      </c>
      <c r="S1" s="7" t="s">
        <v>114</v>
      </c>
    </row>
    <row r="2" spans="1:19" x14ac:dyDescent="0.3">
      <c r="A2" s="8">
        <v>1</v>
      </c>
      <c r="B2" s="5" t="s">
        <v>15</v>
      </c>
      <c r="C2" s="5">
        <f>[1]Electricity_sales!$C$18+[1]Electricity_sales!$C$19+[1]Electricity_sales!$C$20</f>
        <v>22164.317094538503</v>
      </c>
      <c r="D2" s="5" t="s">
        <v>28</v>
      </c>
      <c r="E2" s="13">
        <f>stats_by_economic_sector!B4+stats_by_economic_sector!B5+stats_by_economic_sector!B6</f>
        <v>298</v>
      </c>
      <c r="F2" s="13">
        <f>stats_by_economic_sector!C4+stats_by_economic_sector!C5+stats_by_economic_sector!C6</f>
        <v>266</v>
      </c>
      <c r="G2" s="13">
        <f>stats_by_economic_sector!D4+stats_by_economic_sector!D5+stats_by_economic_sector!D6</f>
        <v>154</v>
      </c>
      <c r="H2" s="13">
        <f>stats_by_economic_sector!E4+stats_by_economic_sector!E5+stats_by_economic_sector!E6</f>
        <v>183</v>
      </c>
      <c r="I2" s="13">
        <f>stats_by_economic_sector!F4+stats_by_economic_sector!F5+stats_by_economic_sector!F6</f>
        <v>1284</v>
      </c>
      <c r="J2" s="5" t="s">
        <v>43</v>
      </c>
      <c r="K2" s="5" t="s">
        <v>47</v>
      </c>
      <c r="L2" s="5" t="s">
        <v>53</v>
      </c>
      <c r="M2" s="5" t="s">
        <v>56</v>
      </c>
      <c r="N2" s="5" t="s">
        <v>104</v>
      </c>
      <c r="O2" s="5" t="s">
        <v>57</v>
      </c>
      <c r="P2" s="5" t="s">
        <v>58</v>
      </c>
      <c r="Q2" s="5" t="s">
        <v>59</v>
      </c>
      <c r="R2" s="5"/>
      <c r="S2" s="5"/>
    </row>
    <row r="3" spans="1:19" ht="28.8" x14ac:dyDescent="0.3">
      <c r="A3" s="8">
        <v>2</v>
      </c>
      <c r="B3" s="5" t="s">
        <v>16</v>
      </c>
      <c r="C3" s="5">
        <f>[1]Electricity_sales!$C$21+[1]Electricity_sales!$C$22</f>
        <v>12541.207658118405</v>
      </c>
      <c r="D3" s="5" t="s">
        <v>29</v>
      </c>
      <c r="E3" s="13">
        <f>stats_by_economic_sector!B7+stats_by_economic_sector!B8</f>
        <v>433</v>
      </c>
      <c r="F3" s="13">
        <f>stats_by_economic_sector!C7+stats_by_economic_sector!C8</f>
        <v>199</v>
      </c>
      <c r="G3" s="13">
        <f>stats_by_economic_sector!D7+stats_by_economic_sector!D8</f>
        <v>97</v>
      </c>
      <c r="H3" s="13">
        <f>stats_by_economic_sector!E7+stats_by_economic_sector!E8</f>
        <v>127</v>
      </c>
      <c r="I3" s="13">
        <f>stats_by_economic_sector!F7+stats_by_economic_sector!F8</f>
        <v>2465</v>
      </c>
      <c r="J3" s="5" t="s">
        <v>12</v>
      </c>
      <c r="K3" s="5" t="s">
        <v>42</v>
      </c>
      <c r="L3" s="5" t="s">
        <v>14</v>
      </c>
      <c r="M3" s="8" t="s">
        <v>63</v>
      </c>
      <c r="N3" s="5" t="s">
        <v>62</v>
      </c>
      <c r="O3" s="5" t="s">
        <v>60</v>
      </c>
      <c r="P3" s="5" t="s">
        <v>61</v>
      </c>
      <c r="Q3" s="5"/>
      <c r="R3" s="5"/>
      <c r="S3" s="5"/>
    </row>
    <row r="4" spans="1:19" x14ac:dyDescent="0.3">
      <c r="A4" s="8">
        <v>3</v>
      </c>
      <c r="B4" s="5" t="s">
        <v>17</v>
      </c>
      <c r="C4" s="5">
        <f>[1]Electricity_sales!$C$23</f>
        <v>4509.4412362338717</v>
      </c>
      <c r="D4" s="5" t="s">
        <v>30</v>
      </c>
      <c r="E4" s="14">
        <f>stats_by_economic_sector!B9</f>
        <v>462</v>
      </c>
      <c r="F4" s="14">
        <f>stats_by_economic_sector!C9</f>
        <v>287</v>
      </c>
      <c r="G4" s="14">
        <f>stats_by_economic_sector!D9</f>
        <v>139</v>
      </c>
      <c r="H4" s="14">
        <f>stats_by_economic_sector!E9</f>
        <v>158</v>
      </c>
      <c r="I4" s="14">
        <f>stats_by_economic_sector!F9</f>
        <v>1632</v>
      </c>
      <c r="J4" s="5" t="s">
        <v>13</v>
      </c>
      <c r="K4" s="5" t="s">
        <v>64</v>
      </c>
      <c r="L4" s="5" t="s">
        <v>100</v>
      </c>
      <c r="M4" s="5"/>
      <c r="N4" s="8"/>
      <c r="O4" s="8"/>
      <c r="P4" s="5"/>
      <c r="Q4" s="5"/>
      <c r="R4" s="5"/>
      <c r="S4" s="5"/>
    </row>
    <row r="5" spans="1:19" x14ac:dyDescent="0.3">
      <c r="A5" s="8">
        <v>4</v>
      </c>
      <c r="B5" s="5" t="s">
        <v>18</v>
      </c>
      <c r="C5" s="5">
        <f>[1]Electricity_sales!$C$24</f>
        <v>6093.1519101721424</v>
      </c>
      <c r="D5" s="5" t="s">
        <v>31</v>
      </c>
      <c r="E5" s="13">
        <f>stats_by_economic_sector!B10</f>
        <v>484</v>
      </c>
      <c r="F5" s="13">
        <f>stats_by_economic_sector!C10</f>
        <v>328</v>
      </c>
      <c r="G5" s="13">
        <f>stats_by_economic_sector!D10</f>
        <v>177</v>
      </c>
      <c r="H5" s="13">
        <f>stats_by_economic_sector!E10</f>
        <v>187</v>
      </c>
      <c r="I5" s="13">
        <f>stats_by_economic_sector!F10</f>
        <v>1930</v>
      </c>
      <c r="J5" s="5" t="s">
        <v>65</v>
      </c>
      <c r="K5" s="5" t="s">
        <v>66</v>
      </c>
      <c r="L5" s="5" t="s">
        <v>67</v>
      </c>
      <c r="M5" s="5" t="s">
        <v>46</v>
      </c>
      <c r="N5" s="5"/>
      <c r="O5" s="5"/>
      <c r="P5" s="5"/>
      <c r="Q5" s="5"/>
      <c r="R5" s="5"/>
      <c r="S5" s="5"/>
    </row>
    <row r="6" spans="1:19" x14ac:dyDescent="0.3">
      <c r="A6" s="8">
        <v>5</v>
      </c>
      <c r="B6" s="5" t="s">
        <v>19</v>
      </c>
      <c r="C6" s="5">
        <f>[1]Electricity_sales!$C$25+[1]Electricity_sales!$C$26</f>
        <v>4242.3093153286209</v>
      </c>
      <c r="D6" s="5" t="s">
        <v>32</v>
      </c>
      <c r="E6" s="13">
        <f>stats_by_economic_sector!B11+stats_by_economic_sector!B12</f>
        <v>1255</v>
      </c>
      <c r="F6" s="13">
        <f>stats_by_economic_sector!C11+stats_by_economic_sector!C12</f>
        <v>669</v>
      </c>
      <c r="G6" s="13">
        <f>stats_by_economic_sector!D11+stats_by_economic_sector!D12</f>
        <v>269</v>
      </c>
      <c r="H6" s="13">
        <f>stats_by_economic_sector!E11+stats_by_economic_sector!E12</f>
        <v>392</v>
      </c>
      <c r="I6" s="13">
        <f>stats_by_economic_sector!F11+stats_by_economic_sector!F12</f>
        <v>4845</v>
      </c>
      <c r="J6" s="5" t="s">
        <v>68</v>
      </c>
      <c r="K6" s="5" t="s">
        <v>69</v>
      </c>
      <c r="L6" s="5"/>
      <c r="M6" s="5"/>
      <c r="N6" s="8"/>
      <c r="O6" s="8"/>
      <c r="P6" s="5"/>
      <c r="Q6" s="5"/>
      <c r="R6" s="5"/>
      <c r="S6" s="5"/>
    </row>
    <row r="7" spans="1:19" x14ac:dyDescent="0.3">
      <c r="A7" s="8">
        <v>6</v>
      </c>
      <c r="B7" s="5" t="s">
        <v>20</v>
      </c>
      <c r="C7" s="5">
        <f>[1]Electricity_sales!$C$27</f>
        <v>231.51433145121709</v>
      </c>
      <c r="D7" s="5" t="s">
        <v>33</v>
      </c>
      <c r="E7" s="14">
        <f>stats_by_economic_sector!B13</f>
        <v>685</v>
      </c>
      <c r="F7" s="14">
        <f>stats_by_economic_sector!C13</f>
        <v>346</v>
      </c>
      <c r="G7" s="14">
        <f>stats_by_economic_sector!D13</f>
        <v>121</v>
      </c>
      <c r="H7" s="14">
        <f>stats_by_economic_sector!E13</f>
        <v>156</v>
      </c>
      <c r="I7" s="14">
        <f>stats_by_economic_sector!F13</f>
        <v>2909</v>
      </c>
      <c r="J7" s="5" t="s">
        <v>70</v>
      </c>
      <c r="K7" s="5" t="s">
        <v>71</v>
      </c>
      <c r="L7" s="5" t="s">
        <v>72</v>
      </c>
      <c r="M7" s="8"/>
      <c r="N7" s="5"/>
      <c r="O7" s="5"/>
      <c r="P7" s="5"/>
      <c r="Q7" s="5"/>
      <c r="R7" s="5"/>
      <c r="S7" s="5"/>
    </row>
    <row r="8" spans="1:19" x14ac:dyDescent="0.3">
      <c r="A8" s="8">
        <v>7</v>
      </c>
      <c r="B8" s="5" t="s">
        <v>21</v>
      </c>
      <c r="C8" s="5">
        <f>[1]Electricity_sales!$C$28</f>
        <v>2823.9660209983626</v>
      </c>
      <c r="D8" s="5" t="s">
        <v>34</v>
      </c>
      <c r="E8" s="13">
        <f>stats_by_economic_sector!B14+stats_by_economic_sector!B15</f>
        <v>1723</v>
      </c>
      <c r="F8" s="13">
        <f>stats_by_economic_sector!C14+stats_by_economic_sector!C15</f>
        <v>443</v>
      </c>
      <c r="G8" s="13">
        <f>stats_by_economic_sector!D14+stats_by_economic_sector!D15</f>
        <v>145</v>
      </c>
      <c r="H8" s="13">
        <f>stats_by_economic_sector!E14+stats_by_economic_sector!E15</f>
        <v>90</v>
      </c>
      <c r="I8" s="13">
        <f>stats_by_economic_sector!F14+stats_by_economic_sector!F15</f>
        <v>10678</v>
      </c>
      <c r="J8" s="5" t="s">
        <v>8</v>
      </c>
      <c r="K8" s="5" t="s">
        <v>7</v>
      </c>
      <c r="L8" s="5" t="s">
        <v>73</v>
      </c>
      <c r="M8" s="8" t="s">
        <v>97</v>
      </c>
      <c r="N8" s="5" t="s">
        <v>98</v>
      </c>
      <c r="O8" s="5" t="s">
        <v>99</v>
      </c>
      <c r="P8" s="5"/>
      <c r="Q8" s="5"/>
      <c r="R8" s="5"/>
      <c r="S8" s="5"/>
    </row>
    <row r="9" spans="1:19" ht="28.8" x14ac:dyDescent="0.3">
      <c r="A9" s="8">
        <v>8</v>
      </c>
      <c r="B9" s="5" t="s">
        <v>22</v>
      </c>
      <c r="C9" s="5">
        <f>[1]Electricity_sales!$C$29</f>
        <v>9717.2416371200416</v>
      </c>
      <c r="D9" s="5" t="s">
        <v>35</v>
      </c>
      <c r="E9" s="13">
        <f>stats_by_economic_sector!B16</f>
        <v>1034</v>
      </c>
      <c r="F9" s="13">
        <f>stats_by_economic_sector!C16</f>
        <v>177</v>
      </c>
      <c r="G9" s="13">
        <f>stats_by_economic_sector!D16</f>
        <v>38</v>
      </c>
      <c r="H9" s="13">
        <f>stats_by_economic_sector!E16</f>
        <v>26</v>
      </c>
      <c r="I9" s="13">
        <f>stats_by_economic_sector!F16</f>
        <v>5351</v>
      </c>
      <c r="J9" s="5" t="s">
        <v>11</v>
      </c>
      <c r="K9" s="5" t="s">
        <v>74</v>
      </c>
      <c r="L9" s="5" t="s">
        <v>10</v>
      </c>
      <c r="M9" s="5" t="s">
        <v>75</v>
      </c>
      <c r="N9" s="5" t="s">
        <v>76</v>
      </c>
      <c r="O9" s="5" t="s">
        <v>77</v>
      </c>
      <c r="P9" s="5" t="s">
        <v>116</v>
      </c>
      <c r="Q9" s="5"/>
      <c r="R9" s="5"/>
      <c r="S9" s="5"/>
    </row>
    <row r="10" spans="1:19" x14ac:dyDescent="0.3">
      <c r="A10" s="8">
        <v>9</v>
      </c>
      <c r="B10" s="5" t="s">
        <v>23</v>
      </c>
      <c r="C10" s="5">
        <f>[1]Electricity_sales!$C$30</f>
        <v>14496.358907791593</v>
      </c>
      <c r="D10" s="5" t="s">
        <v>36</v>
      </c>
      <c r="E10" s="13">
        <f>stats_by_economic_sector!B17</f>
        <v>1079</v>
      </c>
      <c r="F10" s="13">
        <f>stats_by_economic_sector!C17</f>
        <v>527</v>
      </c>
      <c r="G10" s="13">
        <f>stats_by_economic_sector!D17</f>
        <v>151</v>
      </c>
      <c r="H10" s="13">
        <f>stats_by_economic_sector!E17</f>
        <v>110</v>
      </c>
      <c r="I10" s="13">
        <f>stats_by_economic_sector!F17</f>
        <v>3643</v>
      </c>
      <c r="J10" s="8" t="s">
        <v>101</v>
      </c>
      <c r="K10" s="8" t="s">
        <v>102</v>
      </c>
      <c r="L10" s="8" t="s">
        <v>103</v>
      </c>
      <c r="M10" s="5" t="s">
        <v>52</v>
      </c>
      <c r="N10" s="8"/>
      <c r="O10" s="5"/>
      <c r="P10" s="5"/>
      <c r="Q10" s="5"/>
      <c r="R10" s="5"/>
      <c r="S10" s="5"/>
    </row>
    <row r="11" spans="1:19" x14ac:dyDescent="0.3">
      <c r="A11" s="8">
        <v>10</v>
      </c>
      <c r="B11" s="5" t="s">
        <v>24</v>
      </c>
      <c r="C11" s="5">
        <f>[1]Electricity_sales!$C$31+[1]Electricity_sales!$C$32</f>
        <v>21912.449854827835</v>
      </c>
      <c r="D11" s="5" t="s">
        <v>37</v>
      </c>
      <c r="E11" s="13">
        <f>stats_by_economic_sector!B18+stats_by_economic_sector!B19</f>
        <v>2529</v>
      </c>
      <c r="F11" s="13">
        <f>stats_by_economic_sector!C18+stats_by_economic_sector!C19</f>
        <v>1227</v>
      </c>
      <c r="G11" s="13">
        <f>stats_by_economic_sector!D18+stats_by_economic_sector!D19</f>
        <v>413</v>
      </c>
      <c r="H11" s="13">
        <f>stats_by_economic_sector!E18+stats_by_economic_sector!E19</f>
        <v>371</v>
      </c>
      <c r="I11" s="13">
        <f>stats_by_economic_sector!F18+stats_by_economic_sector!F19</f>
        <v>9952</v>
      </c>
      <c r="J11" s="5" t="s">
        <v>9</v>
      </c>
      <c r="K11" s="5" t="s">
        <v>6</v>
      </c>
      <c r="L11" s="5" t="s">
        <v>78</v>
      </c>
      <c r="M11" s="5" t="s">
        <v>80</v>
      </c>
      <c r="N11" s="5" t="s">
        <v>5</v>
      </c>
      <c r="O11" s="5" t="s">
        <v>45</v>
      </c>
      <c r="P11" s="8" t="s">
        <v>81</v>
      </c>
      <c r="Q11" s="5" t="s">
        <v>79</v>
      </c>
      <c r="R11" s="5" t="s">
        <v>105</v>
      </c>
      <c r="S11" s="5" t="s">
        <v>106</v>
      </c>
    </row>
    <row r="12" spans="1:19" ht="28.8" x14ac:dyDescent="0.3">
      <c r="A12" s="8">
        <v>11</v>
      </c>
      <c r="B12" s="5" t="s">
        <v>25</v>
      </c>
      <c r="C12" s="5">
        <f>[1]Electricity_sales!$C$33</f>
        <v>2077.2686992298763</v>
      </c>
      <c r="D12" s="5" t="s">
        <v>38</v>
      </c>
      <c r="E12" s="14">
        <f>stats_by_economic_sector!B22</f>
        <v>2062</v>
      </c>
      <c r="F12" s="14">
        <f>stats_by_economic_sector!C22</f>
        <v>1083</v>
      </c>
      <c r="G12" s="14">
        <f>stats_by_economic_sector!D22</f>
        <v>226</v>
      </c>
      <c r="H12" s="14">
        <f>stats_by_economic_sector!E22</f>
        <v>217</v>
      </c>
      <c r="I12" s="14">
        <f>stats_by_economic_sector!F22</f>
        <v>6036</v>
      </c>
      <c r="J12" s="5" t="s">
        <v>50</v>
      </c>
      <c r="K12" s="5" t="s">
        <v>54</v>
      </c>
      <c r="L12" s="8" t="s">
        <v>83</v>
      </c>
      <c r="M12" s="5" t="s">
        <v>82</v>
      </c>
      <c r="N12" s="5" t="s">
        <v>84</v>
      </c>
      <c r="O12" s="5" t="s">
        <v>85</v>
      </c>
      <c r="P12" s="5" t="s">
        <v>107</v>
      </c>
      <c r="Q12" s="5" t="s">
        <v>111</v>
      </c>
      <c r="R12" s="5"/>
      <c r="S12" s="5"/>
    </row>
    <row r="13" spans="1:19" ht="28.8" x14ac:dyDescent="0.3">
      <c r="A13" s="8">
        <v>12</v>
      </c>
      <c r="B13" s="5" t="s">
        <v>222</v>
      </c>
      <c r="C13" s="10">
        <f>[2]Electricity_sales!$C$34+[2]Electricity_sales!$C$35</f>
        <v>11799.59856341478</v>
      </c>
      <c r="D13" s="5" t="s">
        <v>39</v>
      </c>
      <c r="E13" s="14">
        <f>stats_by_economic_sector!B20+stats_by_economic_sector!B21</f>
        <v>3475</v>
      </c>
      <c r="F13" s="14">
        <f>stats_by_economic_sector!C20+stats_by_economic_sector!C21</f>
        <v>1401</v>
      </c>
      <c r="G13" s="14">
        <f>stats_by_economic_sector!D20+stats_by_economic_sector!D21</f>
        <v>416</v>
      </c>
      <c r="H13" s="14">
        <f>stats_by_economic_sector!E20+stats_by_economic_sector!E21</f>
        <v>272</v>
      </c>
      <c r="I13" s="14">
        <f>stats_by_economic_sector!F20+stats_by_economic_sector!F21</f>
        <v>15154</v>
      </c>
      <c r="J13" s="5" t="s">
        <v>44</v>
      </c>
      <c r="K13" s="5" t="s">
        <v>115</v>
      </c>
      <c r="L13" s="8" t="s">
        <v>87</v>
      </c>
      <c r="M13" s="8" t="s">
        <v>108</v>
      </c>
      <c r="N13" s="5" t="s">
        <v>88</v>
      </c>
      <c r="O13" s="5" t="s">
        <v>109</v>
      </c>
      <c r="P13" s="5"/>
      <c r="Q13" s="5"/>
      <c r="R13" s="5"/>
      <c r="S13" s="5"/>
    </row>
    <row r="14" spans="1:19" x14ac:dyDescent="0.3">
      <c r="A14" s="8">
        <v>13</v>
      </c>
      <c r="B14" s="5" t="s">
        <v>26</v>
      </c>
      <c r="C14" s="5">
        <f>[1]Electricity_sales!$C$38</f>
        <v>962.94697202511725</v>
      </c>
      <c r="D14" s="5" t="s">
        <v>40</v>
      </c>
      <c r="E14" s="14">
        <f>stats_by_economic_sector!B23+stats_by_economic_sector!B24</f>
        <v>4562</v>
      </c>
      <c r="F14" s="14">
        <f>stats_by_economic_sector!C23+stats_by_economic_sector!C24</f>
        <v>1823</v>
      </c>
      <c r="G14" s="14">
        <f>stats_by_economic_sector!D23+stats_by_economic_sector!D24</f>
        <v>490</v>
      </c>
      <c r="H14" s="14">
        <f>stats_by_economic_sector!E23+stats_by_economic_sector!E24</f>
        <v>313</v>
      </c>
      <c r="I14" s="14">
        <f>stats_by_economic_sector!F23+stats_by_economic_sector!F24</f>
        <v>14938</v>
      </c>
      <c r="J14" s="5" t="s">
        <v>51</v>
      </c>
      <c r="K14" s="8" t="s">
        <v>89</v>
      </c>
      <c r="L14" s="5" t="s">
        <v>86</v>
      </c>
      <c r="M14" s="5" t="s">
        <v>91</v>
      </c>
      <c r="N14" s="8" t="s">
        <v>110</v>
      </c>
      <c r="O14" s="9" t="s">
        <v>118</v>
      </c>
      <c r="P14" s="5"/>
      <c r="Q14" s="5"/>
      <c r="R14" s="5"/>
      <c r="S14" s="5"/>
    </row>
    <row r="15" spans="1:19" ht="28.8" x14ac:dyDescent="0.3">
      <c r="A15" s="8">
        <v>14</v>
      </c>
      <c r="B15" s="5" t="s">
        <v>27</v>
      </c>
      <c r="C15" s="10">
        <f>[2]Electricity_sales!$C$36+[2]Electricity_sales!$C$37+[2]Electricity_sales!$C$39+[2]Electricity_sales!$C$40</f>
        <v>3017.3186494631154</v>
      </c>
      <c r="D15" s="5" t="s">
        <v>41</v>
      </c>
      <c r="E15" s="13">
        <f>stats_by_economic_sector!B25+stats_by_economic_sector!B26+stats_by_economic_sector!B27</f>
        <v>34992</v>
      </c>
      <c r="F15" s="13">
        <f>stats_by_economic_sector!C25+stats_by_economic_sector!C26+stats_by_economic_sector!C27</f>
        <v>13983</v>
      </c>
      <c r="G15" s="13">
        <f>stats_by_economic_sector!D25+stats_by_economic_sector!D26+stats_by_economic_sector!D27</f>
        <v>4485</v>
      </c>
      <c r="H15" s="13">
        <f>stats_by_economic_sector!E25+stats_by_economic_sector!E26+stats_by_economic_sector!E27</f>
        <v>3941</v>
      </c>
      <c r="I15" s="13">
        <f>stats_by_economic_sector!F25+stats_by_economic_sector!F26+stats_by_economic_sector!F27</f>
        <v>151229</v>
      </c>
      <c r="J15" s="5" t="s">
        <v>46</v>
      </c>
      <c r="K15" s="8" t="s">
        <v>90</v>
      </c>
      <c r="L15" s="5" t="s">
        <v>48</v>
      </c>
      <c r="M15" s="5" t="s">
        <v>55</v>
      </c>
      <c r="N15" s="8" t="s">
        <v>112</v>
      </c>
      <c r="O15" s="5" t="s">
        <v>49</v>
      </c>
      <c r="P15" s="5"/>
      <c r="Q15" s="5"/>
      <c r="R15" s="5"/>
      <c r="S15" s="5"/>
    </row>
    <row r="19" spans="2:9" x14ac:dyDescent="0.3">
      <c r="B19" s="3"/>
      <c r="C19" s="3"/>
      <c r="D19" s="3"/>
      <c r="E19" s="3"/>
      <c r="F19" s="3"/>
      <c r="G19" s="3"/>
      <c r="H19" s="3"/>
      <c r="I19" s="3"/>
    </row>
    <row r="24" spans="2:9" x14ac:dyDescent="0.3">
      <c r="B24" s="1"/>
      <c r="C24" s="1"/>
    </row>
  </sheetData>
  <phoneticPr fontId="1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BC357-BE1D-48C4-9BF4-A4689DA0F7B1}">
  <dimension ref="A1:F28"/>
  <sheetViews>
    <sheetView topLeftCell="C1" workbookViewId="0">
      <selection activeCell="H3" sqref="H3"/>
    </sheetView>
  </sheetViews>
  <sheetFormatPr defaultRowHeight="14.4" x14ac:dyDescent="0.3"/>
  <cols>
    <col min="1" max="1" width="39" style="16" customWidth="1"/>
    <col min="2" max="5" width="18.21875" style="16" customWidth="1"/>
  </cols>
  <sheetData>
    <row r="1" spans="1:6" ht="15" customHeight="1" thickBot="1" x14ac:dyDescent="0.35">
      <c r="A1" s="17"/>
      <c r="B1" s="23">
        <v>2023</v>
      </c>
      <c r="C1" s="24"/>
      <c r="D1" s="24"/>
      <c r="E1" s="24"/>
    </row>
    <row r="2" spans="1:6" ht="30" customHeight="1" thickBot="1" x14ac:dyDescent="0.35">
      <c r="A2" s="18"/>
      <c r="B2" s="25" t="s">
        <v>149</v>
      </c>
      <c r="C2" s="25" t="s">
        <v>121</v>
      </c>
      <c r="D2" s="25" t="s">
        <v>122</v>
      </c>
      <c r="E2" s="26" t="s">
        <v>123</v>
      </c>
      <c r="F2" s="34" t="s">
        <v>157</v>
      </c>
    </row>
    <row r="3" spans="1:6" s="15" customFormat="1" ht="15" thickBot="1" x14ac:dyDescent="0.35">
      <c r="A3" s="27" t="s">
        <v>145</v>
      </c>
      <c r="B3" s="21">
        <v>3</v>
      </c>
      <c r="C3" s="21">
        <v>3</v>
      </c>
      <c r="D3" s="21">
        <v>9</v>
      </c>
      <c r="E3" s="22">
        <v>9</v>
      </c>
      <c r="F3" s="19">
        <v>24</v>
      </c>
    </row>
    <row r="4" spans="1:6" ht="29.4" thickBot="1" x14ac:dyDescent="0.35">
      <c r="A4" s="27" t="s">
        <v>138</v>
      </c>
      <c r="B4" s="21">
        <v>12</v>
      </c>
      <c r="C4" s="21">
        <v>11</v>
      </c>
      <c r="D4" s="21">
        <v>3</v>
      </c>
      <c r="E4" s="22">
        <v>9</v>
      </c>
      <c r="F4" s="19">
        <v>50</v>
      </c>
    </row>
    <row r="5" spans="1:6" ht="29.4" thickBot="1" x14ac:dyDescent="0.35">
      <c r="A5" s="27" t="s">
        <v>136</v>
      </c>
      <c r="B5" s="21">
        <v>132</v>
      </c>
      <c r="C5" s="21">
        <v>114</v>
      </c>
      <c r="D5" s="21">
        <v>58</v>
      </c>
      <c r="E5" s="22">
        <v>62</v>
      </c>
      <c r="F5" s="19">
        <v>590</v>
      </c>
    </row>
    <row r="6" spans="1:6" ht="29.4" thickBot="1" x14ac:dyDescent="0.35">
      <c r="A6" s="27" t="s">
        <v>128</v>
      </c>
      <c r="B6" s="21">
        <v>154</v>
      </c>
      <c r="C6" s="21">
        <v>141</v>
      </c>
      <c r="D6" s="21">
        <v>93</v>
      </c>
      <c r="E6" s="22">
        <v>112</v>
      </c>
      <c r="F6" s="19">
        <v>644</v>
      </c>
    </row>
    <row r="7" spans="1:6" ht="15" thickBot="1" x14ac:dyDescent="0.35">
      <c r="A7" s="27" t="s">
        <v>127</v>
      </c>
      <c r="B7" s="21">
        <v>163</v>
      </c>
      <c r="C7" s="21">
        <v>110</v>
      </c>
      <c r="D7" s="21">
        <v>58</v>
      </c>
      <c r="E7" s="22">
        <v>71</v>
      </c>
      <c r="F7" s="19">
        <v>685</v>
      </c>
    </row>
    <row r="8" spans="1:6" ht="15" thickBot="1" x14ac:dyDescent="0.35">
      <c r="A8" s="27" t="s">
        <v>146</v>
      </c>
      <c r="B8" s="21">
        <v>270</v>
      </c>
      <c r="C8" s="21">
        <v>89</v>
      </c>
      <c r="D8" s="21">
        <v>39</v>
      </c>
      <c r="E8" s="22">
        <v>56</v>
      </c>
      <c r="F8" s="19">
        <v>1780</v>
      </c>
    </row>
    <row r="9" spans="1:6" ht="15" thickBot="1" x14ac:dyDescent="0.35">
      <c r="A9" s="27" t="s">
        <v>133</v>
      </c>
      <c r="B9" s="21">
        <v>462</v>
      </c>
      <c r="C9" s="21">
        <v>287</v>
      </c>
      <c r="D9" s="21">
        <v>139</v>
      </c>
      <c r="E9" s="22">
        <v>158</v>
      </c>
      <c r="F9" s="19">
        <v>1632</v>
      </c>
    </row>
    <row r="10" spans="1:6" ht="58.2" customHeight="1" thickBot="1" x14ac:dyDescent="0.35">
      <c r="A10" s="27" t="s">
        <v>130</v>
      </c>
      <c r="B10" s="21">
        <v>484</v>
      </c>
      <c r="C10" s="21">
        <v>328</v>
      </c>
      <c r="D10" s="21">
        <v>177</v>
      </c>
      <c r="E10" s="22">
        <v>187</v>
      </c>
      <c r="F10" s="19">
        <v>1930</v>
      </c>
    </row>
    <row r="11" spans="1:6" ht="29.4" customHeight="1" thickBot="1" x14ac:dyDescent="0.35">
      <c r="A11" s="27" t="s">
        <v>131</v>
      </c>
      <c r="B11" s="21">
        <v>573</v>
      </c>
      <c r="C11" s="21">
        <v>411</v>
      </c>
      <c r="D11" s="21">
        <v>191</v>
      </c>
      <c r="E11" s="22">
        <v>333</v>
      </c>
      <c r="F11" s="19">
        <v>2522</v>
      </c>
    </row>
    <row r="12" spans="1:6" ht="29.4" thickBot="1" x14ac:dyDescent="0.35">
      <c r="A12" s="27" t="s">
        <v>129</v>
      </c>
      <c r="B12" s="21">
        <v>682</v>
      </c>
      <c r="C12" s="21">
        <v>258</v>
      </c>
      <c r="D12" s="21">
        <v>78</v>
      </c>
      <c r="E12" s="22">
        <v>59</v>
      </c>
      <c r="F12" s="19">
        <v>2323</v>
      </c>
    </row>
    <row r="13" spans="1:6" ht="15" thickBot="1" x14ac:dyDescent="0.35">
      <c r="A13" s="27" t="s">
        <v>142</v>
      </c>
      <c r="B13" s="21">
        <v>685</v>
      </c>
      <c r="C13" s="21">
        <v>346</v>
      </c>
      <c r="D13" s="21">
        <v>121</v>
      </c>
      <c r="E13" s="22">
        <v>156</v>
      </c>
      <c r="F13" s="19">
        <v>2909</v>
      </c>
    </row>
    <row r="14" spans="1:6" ht="15" thickBot="1" x14ac:dyDescent="0.35">
      <c r="A14" s="27" t="s">
        <v>125</v>
      </c>
      <c r="B14" s="21">
        <v>706</v>
      </c>
      <c r="C14" s="21">
        <v>261</v>
      </c>
      <c r="D14" s="21">
        <v>110</v>
      </c>
      <c r="E14" s="22">
        <v>75</v>
      </c>
      <c r="F14" s="19">
        <v>3030</v>
      </c>
    </row>
    <row r="15" spans="1:6" ht="58.2" customHeight="1" thickBot="1" x14ac:dyDescent="0.35">
      <c r="A15" s="27" t="s">
        <v>139</v>
      </c>
      <c r="B15" s="19">
        <v>1017</v>
      </c>
      <c r="C15" s="21">
        <v>182</v>
      </c>
      <c r="D15" s="21">
        <v>35</v>
      </c>
      <c r="E15" s="22">
        <v>15</v>
      </c>
      <c r="F15" s="19">
        <v>7648</v>
      </c>
    </row>
    <row r="16" spans="1:6" ht="29.4" customHeight="1" thickBot="1" x14ac:dyDescent="0.35">
      <c r="A16" s="27" t="s">
        <v>124</v>
      </c>
      <c r="B16" s="19">
        <v>1034</v>
      </c>
      <c r="C16" s="21">
        <v>177</v>
      </c>
      <c r="D16" s="21">
        <v>38</v>
      </c>
      <c r="E16" s="22">
        <v>26</v>
      </c>
      <c r="F16" s="19">
        <v>5351</v>
      </c>
    </row>
    <row r="17" spans="1:6" ht="15" thickBot="1" x14ac:dyDescent="0.35">
      <c r="A17" s="27" t="s">
        <v>140</v>
      </c>
      <c r="B17" s="19">
        <v>1079</v>
      </c>
      <c r="C17" s="21">
        <v>527</v>
      </c>
      <c r="D17" s="21">
        <v>151</v>
      </c>
      <c r="E17" s="22">
        <v>110</v>
      </c>
      <c r="F17" s="19">
        <v>3643</v>
      </c>
    </row>
    <row r="18" spans="1:6" ht="15" thickBot="1" x14ac:dyDescent="0.35">
      <c r="A18" s="27" t="s">
        <v>144</v>
      </c>
      <c r="B18" s="19">
        <v>1144</v>
      </c>
      <c r="C18" s="21">
        <v>522</v>
      </c>
      <c r="D18" s="21">
        <v>182</v>
      </c>
      <c r="E18" s="22">
        <v>193</v>
      </c>
      <c r="F18" s="19">
        <v>4564</v>
      </c>
    </row>
    <row r="19" spans="1:6" ht="29.4" thickBot="1" x14ac:dyDescent="0.35">
      <c r="A19" s="27" t="s">
        <v>137</v>
      </c>
      <c r="B19" s="19">
        <v>1385</v>
      </c>
      <c r="C19" s="21">
        <v>705</v>
      </c>
      <c r="D19" s="21">
        <v>231</v>
      </c>
      <c r="E19" s="22">
        <v>178</v>
      </c>
      <c r="F19" s="19">
        <v>5388</v>
      </c>
    </row>
    <row r="20" spans="1:6" ht="15" thickBot="1" x14ac:dyDescent="0.35">
      <c r="A20" s="27" t="s">
        <v>126</v>
      </c>
      <c r="B20" s="19">
        <v>1535</v>
      </c>
      <c r="C20" s="21">
        <v>675</v>
      </c>
      <c r="D20" s="21">
        <v>196</v>
      </c>
      <c r="E20" s="22">
        <v>118</v>
      </c>
      <c r="F20" s="19">
        <v>6123</v>
      </c>
    </row>
    <row r="21" spans="1:6" ht="15" thickBot="1" x14ac:dyDescent="0.35">
      <c r="A21" s="27" t="s">
        <v>143</v>
      </c>
      <c r="B21" s="19">
        <v>1940</v>
      </c>
      <c r="C21" s="21">
        <v>726</v>
      </c>
      <c r="D21" s="21">
        <v>220</v>
      </c>
      <c r="E21" s="22">
        <v>154</v>
      </c>
      <c r="F21" s="19">
        <v>9031</v>
      </c>
    </row>
    <row r="22" spans="1:6" ht="29.4" thickBot="1" x14ac:dyDescent="0.35">
      <c r="A22" s="27" t="s">
        <v>134</v>
      </c>
      <c r="B22" s="19">
        <v>2062</v>
      </c>
      <c r="C22" s="19">
        <v>1083</v>
      </c>
      <c r="D22" s="21">
        <v>226</v>
      </c>
      <c r="E22" s="22">
        <v>217</v>
      </c>
      <c r="F22" s="19">
        <v>6036</v>
      </c>
    </row>
    <row r="23" spans="1:6" ht="43.8" customHeight="1" thickBot="1" x14ac:dyDescent="0.35">
      <c r="A23" s="27" t="s">
        <v>135</v>
      </c>
      <c r="B23" s="19">
        <v>2251</v>
      </c>
      <c r="C23" s="19">
        <v>1128</v>
      </c>
      <c r="D23" s="21">
        <v>355</v>
      </c>
      <c r="E23" s="22">
        <v>250</v>
      </c>
      <c r="F23" s="19">
        <v>7507</v>
      </c>
    </row>
    <row r="24" spans="1:6" ht="29.4" customHeight="1" thickBot="1" x14ac:dyDescent="0.35">
      <c r="A24" s="27" t="s">
        <v>141</v>
      </c>
      <c r="B24" s="19">
        <v>2311</v>
      </c>
      <c r="C24" s="21">
        <v>695</v>
      </c>
      <c r="D24" s="21">
        <v>135</v>
      </c>
      <c r="E24" s="22">
        <v>63</v>
      </c>
      <c r="F24" s="19">
        <v>7431</v>
      </c>
    </row>
    <row r="25" spans="1:6" ht="15" thickBot="1" x14ac:dyDescent="0.35">
      <c r="A25" s="27" t="s">
        <v>147</v>
      </c>
      <c r="B25" s="19">
        <v>2354</v>
      </c>
      <c r="C25" s="19">
        <v>1262</v>
      </c>
      <c r="D25" s="21">
        <v>496</v>
      </c>
      <c r="E25" s="22">
        <v>436</v>
      </c>
      <c r="F25" s="19">
        <v>9457</v>
      </c>
    </row>
    <row r="26" spans="1:6" ht="29.4" thickBot="1" x14ac:dyDescent="0.35">
      <c r="A26" s="27" t="s">
        <v>132</v>
      </c>
      <c r="B26" s="19">
        <v>5100</v>
      </c>
      <c r="C26" s="19">
        <v>1340</v>
      </c>
      <c r="D26" s="21">
        <v>324</v>
      </c>
      <c r="E26" s="22">
        <v>229</v>
      </c>
      <c r="F26" s="19">
        <v>22882</v>
      </c>
    </row>
    <row r="27" spans="1:6" ht="43.8" customHeight="1" thickBot="1" x14ac:dyDescent="0.35">
      <c r="A27" s="28" t="s">
        <v>148</v>
      </c>
      <c r="B27" s="29">
        <v>27538</v>
      </c>
      <c r="C27" s="29">
        <v>11381</v>
      </c>
      <c r="D27" s="29">
        <v>3665</v>
      </c>
      <c r="E27" s="30">
        <v>3276</v>
      </c>
      <c r="F27" s="29">
        <v>118890</v>
      </c>
    </row>
    <row r="28" spans="1:6" x14ac:dyDescent="0.3">
      <c r="B28" s="35"/>
      <c r="C28" s="35"/>
      <c r="D28" s="35"/>
      <c r="E28" s="35"/>
      <c r="F28" s="35"/>
    </row>
  </sheetData>
  <sortState xmlns:xlrd2="http://schemas.microsoft.com/office/spreadsheetml/2017/richdata2" ref="A3:F28">
    <sortCondition ref="B2:B28"/>
  </sortState>
  <mergeCells count="2">
    <mergeCell ref="A1:A2"/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A7E9-BA3F-436F-8BFF-6A5B8E6A894E}">
  <dimension ref="A1:E72"/>
  <sheetViews>
    <sheetView workbookViewId="0">
      <selection activeCell="G2" sqref="G2"/>
    </sheetView>
  </sheetViews>
  <sheetFormatPr defaultRowHeight="14.4" x14ac:dyDescent="0.3"/>
  <cols>
    <col min="1" max="5" width="17.21875" style="16" customWidth="1"/>
    <col min="6" max="16384" width="8.88671875" style="16"/>
  </cols>
  <sheetData>
    <row r="1" spans="1:5" ht="29.4" thickBot="1" x14ac:dyDescent="0.35">
      <c r="A1" s="36" t="s">
        <v>223</v>
      </c>
      <c r="B1" s="25" t="s">
        <v>149</v>
      </c>
      <c r="C1" s="25" t="s">
        <v>121</v>
      </c>
      <c r="D1" s="25" t="s">
        <v>122</v>
      </c>
      <c r="E1" s="26" t="s">
        <v>123</v>
      </c>
    </row>
    <row r="2" spans="1:5" s="31" customFormat="1" ht="15" thickBot="1" x14ac:dyDescent="0.35">
      <c r="A2" s="28" t="s">
        <v>158</v>
      </c>
      <c r="B2" s="29">
        <v>177750</v>
      </c>
      <c r="C2" s="29">
        <v>48260</v>
      </c>
      <c r="D2" s="29">
        <v>11950</v>
      </c>
      <c r="E2" s="30">
        <v>10639</v>
      </c>
    </row>
    <row r="3" spans="1:5" s="31" customFormat="1" ht="15" thickBot="1" x14ac:dyDescent="0.35">
      <c r="A3" s="28" t="s">
        <v>156</v>
      </c>
      <c r="B3" s="29">
        <v>58264</v>
      </c>
      <c r="C3" s="29">
        <v>16632</v>
      </c>
      <c r="D3" s="29">
        <v>3991</v>
      </c>
      <c r="E3" s="30">
        <v>3799</v>
      </c>
    </row>
    <row r="4" spans="1:5" ht="15" thickBot="1" x14ac:dyDescent="0.35">
      <c r="A4" s="27" t="s">
        <v>159</v>
      </c>
      <c r="B4" s="19">
        <v>35966</v>
      </c>
      <c r="C4" s="19">
        <v>9484</v>
      </c>
      <c r="D4" s="19">
        <v>2235</v>
      </c>
      <c r="E4" s="20">
        <v>2227</v>
      </c>
    </row>
    <row r="5" spans="1:5" ht="15" thickBot="1" x14ac:dyDescent="0.35">
      <c r="A5" s="27" t="s">
        <v>160</v>
      </c>
      <c r="B5" s="19">
        <v>2066</v>
      </c>
      <c r="C5" s="21">
        <v>565</v>
      </c>
      <c r="D5" s="21">
        <v>130</v>
      </c>
      <c r="E5" s="22">
        <v>145</v>
      </c>
    </row>
    <row r="6" spans="1:5" ht="15" thickBot="1" x14ac:dyDescent="0.35">
      <c r="A6" s="27" t="s">
        <v>161</v>
      </c>
      <c r="B6" s="19">
        <v>3633</v>
      </c>
      <c r="C6" s="19">
        <v>1226</v>
      </c>
      <c r="D6" s="21">
        <v>326</v>
      </c>
      <c r="E6" s="22">
        <v>223</v>
      </c>
    </row>
    <row r="7" spans="1:5" ht="15" thickBot="1" x14ac:dyDescent="0.35">
      <c r="A7" s="27" t="s">
        <v>162</v>
      </c>
      <c r="B7" s="19">
        <v>2187</v>
      </c>
      <c r="C7" s="21">
        <v>638</v>
      </c>
      <c r="D7" s="21">
        <v>158</v>
      </c>
      <c r="E7" s="22">
        <v>173</v>
      </c>
    </row>
    <row r="8" spans="1:5" ht="15" thickBot="1" x14ac:dyDescent="0.35">
      <c r="A8" s="27" t="s">
        <v>163</v>
      </c>
      <c r="B8" s="19">
        <v>2174</v>
      </c>
      <c r="C8" s="21">
        <v>675</v>
      </c>
      <c r="D8" s="21">
        <v>150</v>
      </c>
      <c r="E8" s="22">
        <v>164</v>
      </c>
    </row>
    <row r="9" spans="1:5" ht="15" thickBot="1" x14ac:dyDescent="0.35">
      <c r="A9" s="27" t="s">
        <v>164</v>
      </c>
      <c r="B9" s="19">
        <v>4386</v>
      </c>
      <c r="C9" s="19">
        <v>1320</v>
      </c>
      <c r="D9" s="21">
        <v>353</v>
      </c>
      <c r="E9" s="22">
        <v>302</v>
      </c>
    </row>
    <row r="10" spans="1:5" ht="15" thickBot="1" x14ac:dyDescent="0.35">
      <c r="A10" s="27" t="s">
        <v>165</v>
      </c>
      <c r="B10" s="19">
        <v>1983</v>
      </c>
      <c r="C10" s="21">
        <v>778</v>
      </c>
      <c r="D10" s="21">
        <v>200</v>
      </c>
      <c r="E10" s="22">
        <v>220</v>
      </c>
    </row>
    <row r="11" spans="1:5" ht="15" thickBot="1" x14ac:dyDescent="0.35">
      <c r="A11" s="27" t="s">
        <v>166</v>
      </c>
      <c r="B11" s="19">
        <v>1455</v>
      </c>
      <c r="C11" s="21">
        <v>409</v>
      </c>
      <c r="D11" s="21">
        <v>102</v>
      </c>
      <c r="E11" s="22">
        <v>62</v>
      </c>
    </row>
    <row r="12" spans="1:5" ht="15" thickBot="1" x14ac:dyDescent="0.35">
      <c r="A12" s="27" t="s">
        <v>167</v>
      </c>
      <c r="B12" s="19">
        <v>1264</v>
      </c>
      <c r="C12" s="21">
        <v>552</v>
      </c>
      <c r="D12" s="21">
        <v>136</v>
      </c>
      <c r="E12" s="22">
        <v>125</v>
      </c>
    </row>
    <row r="13" spans="1:5" ht="15" thickBot="1" x14ac:dyDescent="0.35">
      <c r="A13" s="27" t="s">
        <v>168</v>
      </c>
      <c r="B13" s="19">
        <v>1929</v>
      </c>
      <c r="C13" s="21">
        <v>528</v>
      </c>
      <c r="D13" s="21">
        <v>82</v>
      </c>
      <c r="E13" s="22">
        <v>49</v>
      </c>
    </row>
    <row r="14" spans="1:5" ht="15" thickBot="1" x14ac:dyDescent="0.35">
      <c r="A14" s="27" t="s">
        <v>169</v>
      </c>
      <c r="B14" s="19">
        <v>1221</v>
      </c>
      <c r="C14" s="21">
        <v>457</v>
      </c>
      <c r="D14" s="21">
        <v>119</v>
      </c>
      <c r="E14" s="22">
        <v>109</v>
      </c>
    </row>
    <row r="15" spans="1:5" s="31" customFormat="1" ht="43.8" thickBot="1" x14ac:dyDescent="0.35">
      <c r="A15" s="28" t="s">
        <v>155</v>
      </c>
      <c r="B15" s="29">
        <v>9362</v>
      </c>
      <c r="C15" s="29">
        <v>2756</v>
      </c>
      <c r="D15" s="32">
        <v>680</v>
      </c>
      <c r="E15" s="33">
        <v>522</v>
      </c>
    </row>
    <row r="16" spans="1:5" ht="15" thickBot="1" x14ac:dyDescent="0.35">
      <c r="A16" s="27" t="s">
        <v>170</v>
      </c>
      <c r="B16" s="21">
        <v>324</v>
      </c>
      <c r="C16" s="21">
        <v>91</v>
      </c>
      <c r="D16" s="21">
        <v>19</v>
      </c>
      <c r="E16" s="22">
        <v>20</v>
      </c>
    </row>
    <row r="17" spans="1:5" ht="15" thickBot="1" x14ac:dyDescent="0.35">
      <c r="A17" s="27" t="s">
        <v>171</v>
      </c>
      <c r="B17" s="21">
        <v>268</v>
      </c>
      <c r="C17" s="21">
        <v>57</v>
      </c>
      <c r="D17" s="21">
        <v>12</v>
      </c>
      <c r="E17" s="22">
        <v>12</v>
      </c>
    </row>
    <row r="18" spans="1:5" ht="15" thickBot="1" x14ac:dyDescent="0.35">
      <c r="A18" s="27" t="s">
        <v>172</v>
      </c>
      <c r="B18" s="21">
        <v>141</v>
      </c>
      <c r="C18" s="21">
        <v>45</v>
      </c>
      <c r="D18" s="21">
        <v>9</v>
      </c>
      <c r="E18" s="22">
        <v>1</v>
      </c>
    </row>
    <row r="19" spans="1:5" ht="15" thickBot="1" x14ac:dyDescent="0.35">
      <c r="A19" s="27" t="s">
        <v>173</v>
      </c>
      <c r="B19" s="21">
        <v>358</v>
      </c>
      <c r="C19" s="21">
        <v>87</v>
      </c>
      <c r="D19" s="21">
        <v>18</v>
      </c>
      <c r="E19" s="22">
        <v>12</v>
      </c>
    </row>
    <row r="20" spans="1:5" ht="15" thickBot="1" x14ac:dyDescent="0.35">
      <c r="A20" s="27" t="s">
        <v>174</v>
      </c>
      <c r="B20" s="21">
        <v>871</v>
      </c>
      <c r="C20" s="21">
        <v>237</v>
      </c>
      <c r="D20" s="21">
        <v>58</v>
      </c>
      <c r="E20" s="22">
        <v>45</v>
      </c>
    </row>
    <row r="21" spans="1:5" ht="15" thickBot="1" x14ac:dyDescent="0.35">
      <c r="A21" s="27" t="s">
        <v>175</v>
      </c>
      <c r="B21" s="21">
        <v>429</v>
      </c>
      <c r="C21" s="21">
        <v>139</v>
      </c>
      <c r="D21" s="21">
        <v>37</v>
      </c>
      <c r="E21" s="22">
        <v>22</v>
      </c>
    </row>
    <row r="22" spans="1:5" ht="15" thickBot="1" x14ac:dyDescent="0.35">
      <c r="A22" s="27" t="s">
        <v>176</v>
      </c>
      <c r="B22" s="19">
        <v>1220</v>
      </c>
      <c r="C22" s="21">
        <v>398</v>
      </c>
      <c r="D22" s="21">
        <v>112</v>
      </c>
      <c r="E22" s="22">
        <v>91</v>
      </c>
    </row>
    <row r="23" spans="1:5" ht="15" thickBot="1" x14ac:dyDescent="0.35">
      <c r="A23" s="27" t="s">
        <v>177</v>
      </c>
      <c r="B23" s="21">
        <v>722</v>
      </c>
      <c r="C23" s="21">
        <v>274</v>
      </c>
      <c r="D23" s="21">
        <v>38</v>
      </c>
      <c r="E23" s="22">
        <v>15</v>
      </c>
    </row>
    <row r="24" spans="1:5" ht="15" thickBot="1" x14ac:dyDescent="0.35">
      <c r="A24" s="27" t="s">
        <v>178</v>
      </c>
      <c r="B24" s="19">
        <v>1984</v>
      </c>
      <c r="C24" s="21">
        <v>616</v>
      </c>
      <c r="D24" s="21">
        <v>148</v>
      </c>
      <c r="E24" s="22">
        <v>121</v>
      </c>
    </row>
    <row r="25" spans="1:5" ht="15" thickBot="1" x14ac:dyDescent="0.35">
      <c r="A25" s="27" t="s">
        <v>179</v>
      </c>
      <c r="B25" s="19">
        <v>1244</v>
      </c>
      <c r="C25" s="21">
        <v>352</v>
      </c>
      <c r="D25" s="21">
        <v>85</v>
      </c>
      <c r="E25" s="22">
        <v>69</v>
      </c>
    </row>
    <row r="26" spans="1:5" ht="15" thickBot="1" x14ac:dyDescent="0.35">
      <c r="A26" s="27" t="s">
        <v>180</v>
      </c>
      <c r="B26" s="21">
        <v>299</v>
      </c>
      <c r="C26" s="21">
        <v>52</v>
      </c>
      <c r="D26" s="21">
        <v>23</v>
      </c>
      <c r="E26" s="22">
        <v>14</v>
      </c>
    </row>
    <row r="27" spans="1:5" ht="15" thickBot="1" x14ac:dyDescent="0.35">
      <c r="A27" s="27" t="s">
        <v>181</v>
      </c>
      <c r="B27" s="21">
        <v>289</v>
      </c>
      <c r="C27" s="21">
        <v>66</v>
      </c>
      <c r="D27" s="21">
        <v>30</v>
      </c>
      <c r="E27" s="22">
        <v>28</v>
      </c>
    </row>
    <row r="28" spans="1:5" ht="15" thickBot="1" x14ac:dyDescent="0.35">
      <c r="A28" s="27" t="s">
        <v>182</v>
      </c>
      <c r="B28" s="21">
        <v>566</v>
      </c>
      <c r="C28" s="21">
        <v>136</v>
      </c>
      <c r="D28" s="21">
        <v>34</v>
      </c>
      <c r="E28" s="22">
        <v>31</v>
      </c>
    </row>
    <row r="29" spans="1:5" ht="15" thickBot="1" x14ac:dyDescent="0.35">
      <c r="A29" s="27" t="s">
        <v>183</v>
      </c>
      <c r="B29" s="21">
        <v>647</v>
      </c>
      <c r="C29" s="21">
        <v>206</v>
      </c>
      <c r="D29" s="21">
        <v>57</v>
      </c>
      <c r="E29" s="22">
        <v>41</v>
      </c>
    </row>
    <row r="30" spans="1:5" s="31" customFormat="1" ht="43.8" thickBot="1" x14ac:dyDescent="0.35">
      <c r="A30" s="28" t="s">
        <v>154</v>
      </c>
      <c r="B30" s="29">
        <v>18921</v>
      </c>
      <c r="C30" s="29">
        <v>4706</v>
      </c>
      <c r="D30" s="29">
        <v>1113</v>
      </c>
      <c r="E30" s="30">
        <v>1099</v>
      </c>
    </row>
    <row r="31" spans="1:5" ht="15" thickBot="1" x14ac:dyDescent="0.35">
      <c r="A31" s="27" t="s">
        <v>184</v>
      </c>
      <c r="B31" s="19">
        <v>3216</v>
      </c>
      <c r="C31" s="21">
        <v>761</v>
      </c>
      <c r="D31" s="21">
        <v>165</v>
      </c>
      <c r="E31" s="22">
        <v>133</v>
      </c>
    </row>
    <row r="32" spans="1:5" ht="15" thickBot="1" x14ac:dyDescent="0.35">
      <c r="A32" s="27" t="s">
        <v>185</v>
      </c>
      <c r="B32" s="19">
        <v>2529</v>
      </c>
      <c r="C32" s="21">
        <v>604</v>
      </c>
      <c r="D32" s="21">
        <v>150</v>
      </c>
      <c r="E32" s="22">
        <v>110</v>
      </c>
    </row>
    <row r="33" spans="1:5" ht="15" thickBot="1" x14ac:dyDescent="0.35">
      <c r="A33" s="27" t="s">
        <v>186</v>
      </c>
      <c r="B33" s="19">
        <v>1157</v>
      </c>
      <c r="C33" s="21">
        <v>227</v>
      </c>
      <c r="D33" s="21">
        <v>52</v>
      </c>
      <c r="E33" s="22">
        <v>45</v>
      </c>
    </row>
    <row r="34" spans="1:5" ht="15" thickBot="1" x14ac:dyDescent="0.35">
      <c r="A34" s="27" t="s">
        <v>187</v>
      </c>
      <c r="B34" s="21">
        <v>898</v>
      </c>
      <c r="C34" s="21">
        <v>257</v>
      </c>
      <c r="D34" s="21">
        <v>61</v>
      </c>
      <c r="E34" s="22">
        <v>38</v>
      </c>
    </row>
    <row r="35" spans="1:5" ht="15" thickBot="1" x14ac:dyDescent="0.35">
      <c r="A35" s="27" t="s">
        <v>188</v>
      </c>
      <c r="B35" s="21">
        <v>570</v>
      </c>
      <c r="C35" s="21">
        <v>138</v>
      </c>
      <c r="D35" s="21">
        <v>23</v>
      </c>
      <c r="E35" s="22">
        <v>35</v>
      </c>
    </row>
    <row r="36" spans="1:5" ht="15" thickBot="1" x14ac:dyDescent="0.35">
      <c r="A36" s="27" t="s">
        <v>189</v>
      </c>
      <c r="B36" s="21">
        <v>727</v>
      </c>
      <c r="C36" s="21">
        <v>191</v>
      </c>
      <c r="D36" s="21">
        <v>48</v>
      </c>
      <c r="E36" s="22">
        <v>60</v>
      </c>
    </row>
    <row r="37" spans="1:5" ht="15" thickBot="1" x14ac:dyDescent="0.35">
      <c r="A37" s="27" t="s">
        <v>190</v>
      </c>
      <c r="B37" s="19">
        <v>2948</v>
      </c>
      <c r="C37" s="21">
        <v>757</v>
      </c>
      <c r="D37" s="21">
        <v>162</v>
      </c>
      <c r="E37" s="22">
        <v>150</v>
      </c>
    </row>
    <row r="38" spans="1:5" ht="15" thickBot="1" x14ac:dyDescent="0.35">
      <c r="A38" s="27" t="s">
        <v>191</v>
      </c>
      <c r="B38" s="19">
        <v>1173</v>
      </c>
      <c r="C38" s="21">
        <v>324</v>
      </c>
      <c r="D38" s="21">
        <v>83</v>
      </c>
      <c r="E38" s="22">
        <v>104</v>
      </c>
    </row>
    <row r="39" spans="1:5" ht="15" thickBot="1" x14ac:dyDescent="0.35">
      <c r="A39" s="27" t="s">
        <v>192</v>
      </c>
      <c r="B39" s="21">
        <v>840</v>
      </c>
      <c r="C39" s="21">
        <v>172</v>
      </c>
      <c r="D39" s="21">
        <v>41</v>
      </c>
      <c r="E39" s="22">
        <v>51</v>
      </c>
    </row>
    <row r="40" spans="1:5" ht="15" thickBot="1" x14ac:dyDescent="0.35">
      <c r="A40" s="27" t="s">
        <v>193</v>
      </c>
      <c r="B40" s="19">
        <v>1284</v>
      </c>
      <c r="C40" s="21">
        <v>381</v>
      </c>
      <c r="D40" s="21">
        <v>94</v>
      </c>
      <c r="E40" s="22">
        <v>71</v>
      </c>
    </row>
    <row r="41" spans="1:5" ht="15" thickBot="1" x14ac:dyDescent="0.35">
      <c r="A41" s="27" t="s">
        <v>194</v>
      </c>
      <c r="B41" s="21">
        <v>441</v>
      </c>
      <c r="C41" s="21">
        <v>110</v>
      </c>
      <c r="D41" s="21">
        <v>30</v>
      </c>
      <c r="E41" s="22">
        <v>26</v>
      </c>
    </row>
    <row r="42" spans="1:5" ht="15" thickBot="1" x14ac:dyDescent="0.35">
      <c r="A42" s="27" t="s">
        <v>195</v>
      </c>
      <c r="B42" s="19">
        <v>1498</v>
      </c>
      <c r="C42" s="21">
        <v>405</v>
      </c>
      <c r="D42" s="21">
        <v>118</v>
      </c>
      <c r="E42" s="22">
        <v>126</v>
      </c>
    </row>
    <row r="43" spans="1:5" ht="15" thickBot="1" x14ac:dyDescent="0.35">
      <c r="A43" s="27" t="s">
        <v>196</v>
      </c>
      <c r="B43" s="21">
        <v>598</v>
      </c>
      <c r="C43" s="21">
        <v>125</v>
      </c>
      <c r="D43" s="21">
        <v>30</v>
      </c>
      <c r="E43" s="22">
        <v>52</v>
      </c>
    </row>
    <row r="44" spans="1:5" ht="15" thickBot="1" x14ac:dyDescent="0.35">
      <c r="A44" s="27" t="s">
        <v>197</v>
      </c>
      <c r="B44" s="19">
        <v>1042</v>
      </c>
      <c r="C44" s="21">
        <v>254</v>
      </c>
      <c r="D44" s="21">
        <v>56</v>
      </c>
      <c r="E44" s="22">
        <v>98</v>
      </c>
    </row>
    <row r="45" spans="1:5" s="31" customFormat="1" ht="15" thickBot="1" x14ac:dyDescent="0.35">
      <c r="A45" s="28" t="s">
        <v>153</v>
      </c>
      <c r="B45" s="29">
        <v>5050</v>
      </c>
      <c r="C45" s="29">
        <v>1062</v>
      </c>
      <c r="D45" s="32">
        <v>229</v>
      </c>
      <c r="E45" s="33">
        <v>185</v>
      </c>
    </row>
    <row r="46" spans="1:5" ht="15" thickBot="1" x14ac:dyDescent="0.35">
      <c r="A46" s="27" t="s">
        <v>198</v>
      </c>
      <c r="B46" s="21">
        <v>404</v>
      </c>
      <c r="C46" s="21">
        <v>107</v>
      </c>
      <c r="D46" s="21">
        <v>27</v>
      </c>
      <c r="E46" s="22">
        <v>23</v>
      </c>
    </row>
    <row r="47" spans="1:5" ht="15" thickBot="1" x14ac:dyDescent="0.35">
      <c r="A47" s="27" t="s">
        <v>199</v>
      </c>
      <c r="B47" s="19">
        <v>1195</v>
      </c>
      <c r="C47" s="21">
        <v>263</v>
      </c>
      <c r="D47" s="21">
        <v>58</v>
      </c>
      <c r="E47" s="22">
        <v>64</v>
      </c>
    </row>
    <row r="48" spans="1:5" ht="15" thickBot="1" x14ac:dyDescent="0.35">
      <c r="A48" s="27" t="s">
        <v>200</v>
      </c>
      <c r="B48" s="19">
        <v>1474</v>
      </c>
      <c r="C48" s="21">
        <v>269</v>
      </c>
      <c r="D48" s="21">
        <v>58</v>
      </c>
      <c r="E48" s="22">
        <v>40</v>
      </c>
    </row>
    <row r="49" spans="1:5" ht="15" thickBot="1" x14ac:dyDescent="0.35">
      <c r="A49" s="27" t="s">
        <v>201</v>
      </c>
      <c r="B49" s="21">
        <v>603</v>
      </c>
      <c r="C49" s="21">
        <v>109</v>
      </c>
      <c r="D49" s="21">
        <v>19</v>
      </c>
      <c r="E49" s="22">
        <v>9</v>
      </c>
    </row>
    <row r="50" spans="1:5" ht="15" thickBot="1" x14ac:dyDescent="0.35">
      <c r="A50" s="27" t="s">
        <v>202</v>
      </c>
      <c r="B50" s="19">
        <v>1374</v>
      </c>
      <c r="C50" s="21">
        <v>314</v>
      </c>
      <c r="D50" s="21">
        <v>67</v>
      </c>
      <c r="E50" s="22">
        <v>49</v>
      </c>
    </row>
    <row r="51" spans="1:5" s="31" customFormat="1" ht="15" thickBot="1" x14ac:dyDescent="0.35">
      <c r="A51" s="28" t="s">
        <v>152</v>
      </c>
      <c r="B51" s="29">
        <v>73597</v>
      </c>
      <c r="C51" s="29">
        <v>19346</v>
      </c>
      <c r="D51" s="29">
        <v>4973</v>
      </c>
      <c r="E51" s="30">
        <v>4160</v>
      </c>
    </row>
    <row r="52" spans="1:5" ht="15" thickBot="1" x14ac:dyDescent="0.35">
      <c r="A52" s="27" t="s">
        <v>203</v>
      </c>
      <c r="B52" s="19">
        <v>1537</v>
      </c>
      <c r="C52" s="21">
        <v>601</v>
      </c>
      <c r="D52" s="21">
        <v>166</v>
      </c>
      <c r="E52" s="22">
        <v>108</v>
      </c>
    </row>
    <row r="53" spans="1:5" ht="15" thickBot="1" x14ac:dyDescent="0.35">
      <c r="A53" s="27" t="s">
        <v>204</v>
      </c>
      <c r="B53" s="19">
        <v>1042</v>
      </c>
      <c r="C53" s="21">
        <v>399</v>
      </c>
      <c r="D53" s="21">
        <v>122</v>
      </c>
      <c r="E53" s="22">
        <v>123</v>
      </c>
    </row>
    <row r="54" spans="1:5" ht="15" thickBot="1" x14ac:dyDescent="0.35">
      <c r="A54" s="27" t="s">
        <v>205</v>
      </c>
      <c r="B54" s="19">
        <v>9223</v>
      </c>
      <c r="C54" s="19">
        <v>2850</v>
      </c>
      <c r="D54" s="21">
        <v>818</v>
      </c>
      <c r="E54" s="22">
        <v>600</v>
      </c>
    </row>
    <row r="55" spans="1:5" ht="15" thickBot="1" x14ac:dyDescent="0.35">
      <c r="A55" s="27" t="s">
        <v>206</v>
      </c>
      <c r="B55" s="19">
        <v>6128</v>
      </c>
      <c r="C55" s="19">
        <v>1584</v>
      </c>
      <c r="D55" s="21">
        <v>469</v>
      </c>
      <c r="E55" s="22">
        <v>465</v>
      </c>
    </row>
    <row r="56" spans="1:5" ht="15" thickBot="1" x14ac:dyDescent="0.35">
      <c r="A56" s="27" t="s">
        <v>207</v>
      </c>
      <c r="B56" s="19">
        <v>2724</v>
      </c>
      <c r="C56" s="21">
        <v>693</v>
      </c>
      <c r="D56" s="21">
        <v>174</v>
      </c>
      <c r="E56" s="22">
        <v>213</v>
      </c>
    </row>
    <row r="57" spans="1:5" ht="15" thickBot="1" x14ac:dyDescent="0.35">
      <c r="A57" s="27" t="s">
        <v>208</v>
      </c>
      <c r="B57" s="19">
        <v>52943</v>
      </c>
      <c r="C57" s="19">
        <v>13219</v>
      </c>
      <c r="D57" s="19">
        <v>3224</v>
      </c>
      <c r="E57" s="20">
        <v>2651</v>
      </c>
    </row>
    <row r="58" spans="1:5" s="31" customFormat="1" ht="29.4" thickBot="1" x14ac:dyDescent="0.35">
      <c r="A58" s="28" t="s">
        <v>151</v>
      </c>
      <c r="B58" s="29">
        <v>12553</v>
      </c>
      <c r="C58" s="29">
        <v>3747</v>
      </c>
      <c r="D58" s="32">
        <v>949</v>
      </c>
      <c r="E58" s="33">
        <v>769</v>
      </c>
    </row>
    <row r="59" spans="1:5" ht="15" thickBot="1" x14ac:dyDescent="0.35">
      <c r="A59" s="27" t="s">
        <v>209</v>
      </c>
      <c r="B59" s="19">
        <v>2873</v>
      </c>
      <c r="C59" s="19">
        <v>1272</v>
      </c>
      <c r="D59" s="21">
        <v>337</v>
      </c>
      <c r="E59" s="22">
        <v>285</v>
      </c>
    </row>
    <row r="60" spans="1:5" ht="15" thickBot="1" x14ac:dyDescent="0.35">
      <c r="A60" s="27" t="s">
        <v>210</v>
      </c>
      <c r="B60" s="21">
        <v>878</v>
      </c>
      <c r="C60" s="21">
        <v>244</v>
      </c>
      <c r="D60" s="21">
        <v>58</v>
      </c>
      <c r="E60" s="22">
        <v>68</v>
      </c>
    </row>
    <row r="61" spans="1:5" ht="15" thickBot="1" x14ac:dyDescent="0.35">
      <c r="A61" s="27" t="s">
        <v>211</v>
      </c>
      <c r="B61" s="21">
        <v>634</v>
      </c>
      <c r="C61" s="21">
        <v>162</v>
      </c>
      <c r="D61" s="21">
        <v>28</v>
      </c>
      <c r="E61" s="22">
        <v>39</v>
      </c>
    </row>
    <row r="62" spans="1:5" ht="15" thickBot="1" x14ac:dyDescent="0.35">
      <c r="A62" s="27" t="s">
        <v>212</v>
      </c>
      <c r="B62" s="21">
        <v>353</v>
      </c>
      <c r="C62" s="21">
        <v>75</v>
      </c>
      <c r="D62" s="21">
        <v>18</v>
      </c>
      <c r="E62" s="22">
        <v>21</v>
      </c>
    </row>
    <row r="63" spans="1:5" ht="15" thickBot="1" x14ac:dyDescent="0.35">
      <c r="A63" s="27" t="s">
        <v>213</v>
      </c>
      <c r="B63" s="21">
        <v>405</v>
      </c>
      <c r="C63" s="21">
        <v>97</v>
      </c>
      <c r="D63" s="21">
        <v>30</v>
      </c>
      <c r="E63" s="22">
        <v>22</v>
      </c>
    </row>
    <row r="64" spans="1:5" ht="15" thickBot="1" x14ac:dyDescent="0.35">
      <c r="A64" s="27" t="s">
        <v>214</v>
      </c>
      <c r="B64" s="21">
        <v>690</v>
      </c>
      <c r="C64" s="21">
        <v>180</v>
      </c>
      <c r="D64" s="21">
        <v>63</v>
      </c>
      <c r="E64" s="22">
        <v>53</v>
      </c>
    </row>
    <row r="65" spans="1:5" ht="15" thickBot="1" x14ac:dyDescent="0.35">
      <c r="A65" s="27" t="s">
        <v>215</v>
      </c>
      <c r="B65" s="21">
        <v>985</v>
      </c>
      <c r="C65" s="21">
        <v>255</v>
      </c>
      <c r="D65" s="21">
        <v>75</v>
      </c>
      <c r="E65" s="22">
        <v>40</v>
      </c>
    </row>
    <row r="66" spans="1:5" ht="15" thickBot="1" x14ac:dyDescent="0.35">
      <c r="A66" s="27" t="s">
        <v>216</v>
      </c>
      <c r="B66" s="19">
        <v>1482</v>
      </c>
      <c r="C66" s="21">
        <v>412</v>
      </c>
      <c r="D66" s="21">
        <v>75</v>
      </c>
      <c r="E66" s="22">
        <v>55</v>
      </c>
    </row>
    <row r="67" spans="1:5" ht="15" thickBot="1" x14ac:dyDescent="0.35">
      <c r="A67" s="27" t="s">
        <v>217</v>
      </c>
      <c r="B67" s="19">
        <v>1739</v>
      </c>
      <c r="C67" s="21">
        <v>494</v>
      </c>
      <c r="D67" s="21">
        <v>123</v>
      </c>
      <c r="E67" s="22">
        <v>89</v>
      </c>
    </row>
    <row r="68" spans="1:5" ht="15" thickBot="1" x14ac:dyDescent="0.35">
      <c r="A68" s="27" t="s">
        <v>218</v>
      </c>
      <c r="B68" s="21">
        <v>625</v>
      </c>
      <c r="C68" s="21">
        <v>131</v>
      </c>
      <c r="D68" s="21">
        <v>40</v>
      </c>
      <c r="E68" s="22">
        <v>28</v>
      </c>
    </row>
    <row r="69" spans="1:5" ht="15" thickBot="1" x14ac:dyDescent="0.35">
      <c r="A69" s="27" t="s">
        <v>219</v>
      </c>
      <c r="B69" s="21">
        <v>576</v>
      </c>
      <c r="C69" s="21">
        <v>150</v>
      </c>
      <c r="D69" s="21">
        <v>34</v>
      </c>
      <c r="E69" s="22">
        <v>27</v>
      </c>
    </row>
    <row r="70" spans="1:5" ht="15" thickBot="1" x14ac:dyDescent="0.35">
      <c r="A70" s="27" t="s">
        <v>220</v>
      </c>
      <c r="B70" s="21">
        <v>603</v>
      </c>
      <c r="C70" s="21">
        <v>104</v>
      </c>
      <c r="D70" s="21">
        <v>26</v>
      </c>
      <c r="E70" s="22">
        <v>22</v>
      </c>
    </row>
    <row r="71" spans="1:5" ht="15" thickBot="1" x14ac:dyDescent="0.35">
      <c r="A71" s="27" t="s">
        <v>221</v>
      </c>
      <c r="B71" s="21">
        <v>710</v>
      </c>
      <c r="C71" s="21">
        <v>171</v>
      </c>
      <c r="D71" s="21">
        <v>42</v>
      </c>
      <c r="E71" s="22">
        <v>20</v>
      </c>
    </row>
    <row r="72" spans="1:5" s="31" customFormat="1" ht="15" thickBot="1" x14ac:dyDescent="0.35">
      <c r="A72" s="28" t="s">
        <v>150</v>
      </c>
      <c r="B72" s="32">
        <v>3</v>
      </c>
      <c r="C72" s="32">
        <v>11</v>
      </c>
      <c r="D72" s="32">
        <v>15</v>
      </c>
      <c r="E72" s="33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43660-36D6-4E14-8BB8-9FE7A5920FC6}">
  <dimension ref="A1:B3"/>
  <sheetViews>
    <sheetView workbookViewId="0">
      <selection sqref="A1:A3"/>
    </sheetView>
  </sheetViews>
  <sheetFormatPr defaultRowHeight="14.4" x14ac:dyDescent="0.3"/>
  <cols>
    <col min="1" max="1" width="24.5546875" customWidth="1"/>
  </cols>
  <sheetData>
    <row r="1" spans="1:2" x14ac:dyDescent="0.3">
      <c r="A1" t="s">
        <v>224</v>
      </c>
      <c r="B1" s="37" t="s">
        <v>225</v>
      </c>
    </row>
    <row r="2" spans="1:2" x14ac:dyDescent="0.3">
      <c r="A2" t="s">
        <v>226</v>
      </c>
      <c r="B2" s="37" t="s">
        <v>228</v>
      </c>
    </row>
    <row r="3" spans="1:2" x14ac:dyDescent="0.3">
      <c r="A3" t="s">
        <v>227</v>
      </c>
      <c r="B3" s="38" t="s">
        <v>229</v>
      </c>
    </row>
  </sheetData>
  <hyperlinks>
    <hyperlink ref="B2" r:id="rId1" xr:uid="{8E3B4E73-FC66-4845-8AA6-D88E37E2DF75}"/>
    <hyperlink ref="B3" r:id="rId2" xr:uid="{54334882-2A43-4E18-B6C1-F920CFC2E29C}"/>
    <hyperlink ref="B1" r:id="rId3" xr:uid="{20C85FEB-12D2-4D5C-8C6B-5ACA214AC4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stats_by_economic_sector</vt:lpstr>
      <vt:lpstr>stats_by_province_2023</vt:lpstr>
      <vt:lpstr>data_source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Vanniya Perumal, S.R. (Surender Raj)</dc:creator>
  <cp:lastModifiedBy>Ye, M.</cp:lastModifiedBy>
  <dcterms:created xsi:type="dcterms:W3CDTF">2015-06-05T18:17:20Z</dcterms:created>
  <dcterms:modified xsi:type="dcterms:W3CDTF">2025-08-05T12:13:33Z</dcterms:modified>
</cp:coreProperties>
</file>