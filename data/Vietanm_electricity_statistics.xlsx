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mye500\projects\Map2Grid\data\"/>
    </mc:Choice>
  </mc:AlternateContent>
  <xr:revisionPtr revIDLastSave="0" documentId="13_ncr:1_{1AF54CEA-49D4-4D4B-A554-70BBB01A26FD}" xr6:coauthVersionLast="47" xr6:coauthVersionMax="47" xr10:uidLastSave="{00000000-0000-0000-0000-000000000000}"/>
  <bookViews>
    <workbookView xWindow="-1526" yWindow="10183" windowWidth="19543" windowHeight="12377" activeTab="3" xr2:uid="{00000000-000D-0000-FFFF-FFFF00000000}"/>
  </bookViews>
  <sheets>
    <sheet name="Installed_capacity" sheetId="1" r:id="rId1"/>
    <sheet name="Power_generation" sheetId="4" r:id="rId2"/>
    <sheet name="Summary_cheet" sheetId="3" r:id="rId3"/>
    <sheet name="Electricity_sales" sheetId="2" r:id="rId4"/>
    <sheet name="Note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2" l="1"/>
  <c r="C55" i="2" s="1"/>
  <c r="J12" i="4"/>
  <c r="K12" i="4"/>
  <c r="L12" i="4"/>
  <c r="M12" i="4"/>
  <c r="N12" i="4"/>
  <c r="I12" i="4"/>
  <c r="J19" i="4"/>
  <c r="K19" i="4"/>
  <c r="L19" i="4"/>
  <c r="M19" i="4"/>
  <c r="N19" i="4"/>
  <c r="I19" i="4"/>
  <c r="C39" i="2" l="1"/>
  <c r="C27" i="2"/>
  <c r="C10" i="2"/>
  <c r="C14" i="2"/>
  <c r="C2" i="2"/>
  <c r="C69" i="2"/>
  <c r="C68" i="2"/>
  <c r="C50" i="2"/>
  <c r="C36" i="2"/>
  <c r="C64" i="2"/>
  <c r="C49" i="2"/>
  <c r="C35" i="2"/>
  <c r="C8" i="2"/>
  <c r="C78" i="2"/>
  <c r="C63" i="2"/>
  <c r="C48" i="2"/>
  <c r="C22" i="2"/>
  <c r="C7" i="2"/>
  <c r="C77" i="2"/>
  <c r="C47" i="2"/>
  <c r="C33" i="2"/>
  <c r="C6" i="2"/>
  <c r="C76" i="2"/>
  <c r="C60" i="2"/>
  <c r="C32" i="2"/>
  <c r="C5" i="2"/>
  <c r="C75" i="2"/>
  <c r="C59" i="2"/>
  <c r="C44" i="2"/>
  <c r="C19" i="2"/>
  <c r="C4" i="2"/>
  <c r="C58" i="2"/>
  <c r="C72" i="2"/>
  <c r="C57" i="2"/>
  <c r="C42" i="2"/>
  <c r="C29" i="2"/>
  <c r="C16" i="2"/>
  <c r="C53" i="2"/>
  <c r="C38" i="2"/>
  <c r="C26" i="2"/>
  <c r="C13" i="2"/>
  <c r="C67" i="2"/>
  <c r="C52" i="2"/>
  <c r="C37" i="2"/>
  <c r="C25" i="2"/>
  <c r="C12" i="2"/>
  <c r="C66" i="2"/>
  <c r="C24" i="2"/>
  <c r="C79" i="2"/>
  <c r="C23" i="2"/>
  <c r="C34" i="2"/>
  <c r="C62" i="2"/>
  <c r="C21" i="2"/>
  <c r="C46" i="2"/>
  <c r="C20" i="2"/>
  <c r="C31" i="2"/>
  <c r="C73" i="2"/>
  <c r="C43" i="2"/>
  <c r="C30" i="2"/>
  <c r="C18" i="2"/>
  <c r="C70" i="2"/>
  <c r="C56" i="2"/>
  <c r="C40" i="2"/>
  <c r="C28" i="2"/>
  <c r="C15" i="2"/>
</calcChain>
</file>

<file path=xl/sharedStrings.xml><?xml version="1.0" encoding="utf-8"?>
<sst xmlns="http://schemas.openxmlformats.org/spreadsheetml/2006/main" count="223" uniqueCount="147">
  <si>
    <t>Items</t>
  </si>
  <si>
    <t>2015</t>
  </si>
  <si>
    <t>2016</t>
  </si>
  <si>
    <t>2017</t>
  </si>
  <si>
    <t>2018</t>
  </si>
  <si>
    <t>2019</t>
  </si>
  <si>
    <t>2020</t>
  </si>
  <si>
    <t>Hydro</t>
  </si>
  <si>
    <t>Coal-fired</t>
  </si>
  <si>
    <t>FO fired</t>
  </si>
  <si>
    <t>Diesel</t>
  </si>
  <si>
    <t>Gas fired</t>
  </si>
  <si>
    <t>Combined cycle gas turbine</t>
  </si>
  <si>
    <t>Renewable</t>
  </si>
  <si>
    <t>Biomass, co-generation</t>
  </si>
  <si>
    <t>Wind</t>
  </si>
  <si>
    <t>Solar</t>
  </si>
  <si>
    <t>Imports</t>
  </si>
  <si>
    <t>Total</t>
  </si>
  <si>
    <t>Peak load (Pmax)</t>
  </si>
  <si>
    <t>Reserve factor (%)</t>
  </si>
  <si>
    <t>Hydro (GWh)</t>
  </si>
  <si>
    <t>Coal-fired (GWh)</t>
  </si>
  <si>
    <t>FO fired (GWh)</t>
  </si>
  <si>
    <t>Diesel (GWh)</t>
  </si>
  <si>
    <t>DO gas turbine</t>
  </si>
  <si>
    <t>DO</t>
  </si>
  <si>
    <t>Gas fired (GWh)</t>
  </si>
  <si>
    <t>Combined cycle gas turbine (GWh)</t>
  </si>
  <si>
    <t>-</t>
  </si>
  <si>
    <t>INSTALLED CAPACITY</t>
  </si>
  <si>
    <t>POWER GENERATION</t>
  </si>
  <si>
    <t>OTHER INDICATORS</t>
  </si>
  <si>
    <t>Gas turbine</t>
  </si>
  <si>
    <t>Exports</t>
  </si>
  <si>
    <t>Total supply</t>
  </si>
  <si>
    <t>Agriculture, Forestry, and Fishing</t>
  </si>
  <si>
    <t>Industry - Construction</t>
  </si>
  <si>
    <t>Commerce - Services</t>
  </si>
  <si>
    <t>State &amp; Residential</t>
  </si>
  <si>
    <t>Others</t>
  </si>
  <si>
    <t>Loss (%)</t>
  </si>
  <si>
    <t>System Average Interruption Duration Index (SAIDI) - min/cust</t>
  </si>
  <si>
    <t>System Average Interruption Frequency Index (SAIFI) - num/cust</t>
  </si>
  <si>
    <t>Momentary Average Interruption Frequency Index (MAIFI) - num/cust</t>
  </si>
  <si>
    <t>Emission factor (EF) t-CO2/MWh</t>
  </si>
  <si>
    <t>N/A</t>
  </si>
  <si>
    <t>DOMESTIC USES</t>
  </si>
  <si>
    <t>Code</t>
  </si>
  <si>
    <t>Segment, sub-sector and sector</t>
  </si>
  <si>
    <t>AGRICULTURE, FORESTRY &amp; FISHING</t>
  </si>
  <si>
    <t>Irrigation activities</t>
  </si>
  <si>
    <t>Irrigation pump for agriculture</t>
  </si>
  <si>
    <t>Operation of regulating drains</t>
  </si>
  <si>
    <t>Watering pumps, crop service</t>
  </si>
  <si>
    <t>Forestry</t>
  </si>
  <si>
    <t>Fishing</t>
  </si>
  <si>
    <t>Other agriculture activities</t>
  </si>
  <si>
    <t>INDUSTRY &amp; CONSTRUCTION</t>
  </si>
  <si>
    <t>Mining and quarrying</t>
  </si>
  <si>
    <t>Coal mining</t>
  </si>
  <si>
    <t>Crude oil, natural gas exploitation</t>
  </si>
  <si>
    <t>Uranium, Thorium exploitation</t>
  </si>
  <si>
    <t>Metal, non-ferrous metal</t>
  </si>
  <si>
    <t>Building material quarrying</t>
  </si>
  <si>
    <t>Processing industries</t>
  </si>
  <si>
    <t>Food processing</t>
  </si>
  <si>
    <t>Beverage</t>
  </si>
  <si>
    <t>Tobacco</t>
  </si>
  <si>
    <t>Fabric and Textile</t>
  </si>
  <si>
    <t>Garment and Dyeing</t>
  </si>
  <si>
    <t>Leather and shoe</t>
  </si>
  <si>
    <t>Wood processing and products</t>
  </si>
  <si>
    <t>Pulp and paper products</t>
  </si>
  <si>
    <t>Publishing and Printing</t>
  </si>
  <si>
    <t>Coke and petroleum production</t>
  </si>
  <si>
    <t>Chemical and fertilizer</t>
  </si>
  <si>
    <t>Rubber and Plastics products</t>
  </si>
  <si>
    <t>Non-metallic minerals</t>
  </si>
  <si>
    <t>Iron and Steel</t>
  </si>
  <si>
    <t>Iron and steel products</t>
  </si>
  <si>
    <t>Machinery</t>
  </si>
  <si>
    <t>Manufacture of electric equipment and tools</t>
  </si>
  <si>
    <t>Manufacture of radio, communication equipment</t>
  </si>
  <si>
    <t>Manufacture of household products</t>
  </si>
  <si>
    <t>Manufacture of medical tools and precision tools</t>
  </si>
  <si>
    <t>Manufacture of vehicles</t>
  </si>
  <si>
    <t>Manufacture of furniture beds</t>
  </si>
  <si>
    <t>Scrap recycling</t>
  </si>
  <si>
    <t>Fuel and water production and distribution</t>
  </si>
  <si>
    <t>NG production and distribution</t>
  </si>
  <si>
    <t>LPG production and distribution</t>
  </si>
  <si>
    <t>Water production and distribution</t>
  </si>
  <si>
    <t>Construction</t>
  </si>
  <si>
    <t>Ground filling</t>
  </si>
  <si>
    <t>Equipment installing</t>
  </si>
  <si>
    <t>Other industries</t>
  </si>
  <si>
    <t>COMMERCE, HOTEL &amp; RESTAURANT</t>
  </si>
  <si>
    <t>Commerce</t>
  </si>
  <si>
    <t>Wholesale and retail</t>
  </si>
  <si>
    <t>Maintain and repair goods</t>
  </si>
  <si>
    <t>Hotel, motel and restaurant</t>
  </si>
  <si>
    <t>Hotels</t>
  </si>
  <si>
    <t>Restaurants</t>
  </si>
  <si>
    <t>Motels</t>
  </si>
  <si>
    <t>ADMINISTRATIVE OFFICES &amp; HOUSEHOLDS</t>
  </si>
  <si>
    <t>Party and Government offices</t>
  </si>
  <si>
    <t>State-own enterprise office</t>
  </si>
  <si>
    <t>Residential use</t>
  </si>
  <si>
    <t>Urban</t>
  </si>
  <si>
    <t>Rural, mountain area</t>
  </si>
  <si>
    <t>OTHERS</t>
  </si>
  <si>
    <t>Cultural and educational activities</t>
  </si>
  <si>
    <t>Theaters, cinemas, circuses</t>
  </si>
  <si>
    <t>Cultural clubs, entertainment zones</t>
  </si>
  <si>
    <t>School, University</t>
  </si>
  <si>
    <t>Hospitals, clinics</t>
  </si>
  <si>
    <t>Public Lighting</t>
  </si>
  <si>
    <t>Transportation control and warehouses</t>
  </si>
  <si>
    <t>Transportation control</t>
  </si>
  <si>
    <t>Warehouses</t>
  </si>
  <si>
    <t>Other activities</t>
  </si>
  <si>
    <t>Banks, insurance</t>
  </si>
  <si>
    <t>Science institutes</t>
  </si>
  <si>
    <t>Information centers</t>
  </si>
  <si>
    <t>Telecommunications</t>
  </si>
  <si>
    <t>TOTAL DOMESTIC ELECTRICITY SALE</t>
  </si>
  <si>
    <t>GWh</t>
  </si>
  <si>
    <t>Unit</t>
  </si>
  <si>
    <t>MW</t>
  </si>
  <si>
    <t>Installed capacity</t>
  </si>
  <si>
    <t>Power generation</t>
  </si>
  <si>
    <t>Domestic uses</t>
  </si>
  <si>
    <t>Electricity sales</t>
  </si>
  <si>
    <t>FO: Fuel oil</t>
  </si>
  <si>
    <t>coal</t>
  </si>
  <si>
    <t>diesel</t>
  </si>
  <si>
    <t>wind</t>
  </si>
  <si>
    <t>solar</t>
  </si>
  <si>
    <t>hydro</t>
  </si>
  <si>
    <t>oil</t>
  </si>
  <si>
    <t>waste, biofuel, biogas</t>
  </si>
  <si>
    <t>gas, gas;oil</t>
  </si>
  <si>
    <t>energy_source</t>
  </si>
  <si>
    <t>INSTALLED CAPACITY (MW)</t>
  </si>
  <si>
    <t>POWER GENERATION (GWh)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</si>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</sst>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4" fillId="0" borderId="0" xfId="0" applyFont="1"/>
    <xf numFmtId="0" fontId="1" fillId="0" borderId="1" xfId="0" applyFont="1" applyBorder="1" applyAlignment="1">
      <alignment vertical="top"/>
    </xf>
    <xf numFmtId="0" fontId="3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mye500\projects\Map2Grid\data\yearly_full_release_long_format.csv" TargetMode="External"/><Relationship Id="rId1" Type="http://schemas.openxmlformats.org/officeDocument/2006/relationships/externalLinkPath" Target="yearly_full_release_long_forma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ly_full_release_long_format"/>
    </sheetNames>
    <sheetDataSet>
      <sheetData sheetId="0">
        <row r="335108">
          <cell r="P335108">
            <v>277.33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I1" sqref="I1"/>
    </sheetView>
  </sheetViews>
  <sheetFormatPr defaultRowHeight="14.4" x14ac:dyDescent="0.3"/>
  <cols>
    <col min="1" max="1" width="27.44140625" customWidth="1"/>
    <col min="2" max="2" width="18.21875" style="12" customWidth="1"/>
  </cols>
  <sheetData>
    <row r="1" spans="1:9" x14ac:dyDescent="0.3">
      <c r="A1" s="13" t="s">
        <v>144</v>
      </c>
      <c r="B1" s="11" t="s">
        <v>143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3">
      <c r="A2" t="s">
        <v>7</v>
      </c>
      <c r="B2" s="12" t="s">
        <v>139</v>
      </c>
      <c r="C2">
        <v>16587</v>
      </c>
      <c r="D2">
        <v>17824</v>
      </c>
      <c r="E2">
        <v>19288</v>
      </c>
      <c r="F2">
        <v>20170</v>
      </c>
      <c r="G2">
        <v>20632</v>
      </c>
      <c r="H2">
        <v>20859</v>
      </c>
      <c r="I2" s="12"/>
    </row>
    <row r="3" spans="1:9" x14ac:dyDescent="0.3">
      <c r="A3" t="s">
        <v>8</v>
      </c>
      <c r="B3" s="12" t="s">
        <v>135</v>
      </c>
      <c r="C3">
        <v>12903</v>
      </c>
      <c r="D3">
        <v>14595</v>
      </c>
      <c r="E3">
        <v>17089</v>
      </c>
      <c r="F3">
        <v>18945</v>
      </c>
      <c r="G3">
        <v>20267</v>
      </c>
      <c r="H3">
        <v>22077</v>
      </c>
    </row>
    <row r="4" spans="1:9" x14ac:dyDescent="0.3">
      <c r="A4" t="s">
        <v>9</v>
      </c>
      <c r="B4" s="12" t="s">
        <v>140</v>
      </c>
      <c r="C4">
        <v>875</v>
      </c>
      <c r="D4">
        <v>1439</v>
      </c>
      <c r="E4">
        <v>1439</v>
      </c>
      <c r="F4">
        <v>1579</v>
      </c>
      <c r="G4">
        <v>1579</v>
      </c>
      <c r="H4">
        <v>1579</v>
      </c>
    </row>
    <row r="5" spans="1:9" x14ac:dyDescent="0.3">
      <c r="A5" t="s">
        <v>10</v>
      </c>
      <c r="B5" s="12" t="s">
        <v>136</v>
      </c>
      <c r="C5">
        <v>39</v>
      </c>
      <c r="D5">
        <v>24</v>
      </c>
      <c r="E5">
        <v>24</v>
      </c>
      <c r="F5">
        <v>24</v>
      </c>
      <c r="G5">
        <v>24</v>
      </c>
      <c r="H5">
        <v>24</v>
      </c>
    </row>
    <row r="6" spans="1:9" x14ac:dyDescent="0.3">
      <c r="A6" t="s">
        <v>11</v>
      </c>
      <c r="B6" s="12" t="s">
        <v>142</v>
      </c>
      <c r="C6">
        <v>7998</v>
      </c>
      <c r="D6">
        <v>7467</v>
      </c>
      <c r="E6">
        <v>7467</v>
      </c>
      <c r="F6">
        <v>7467</v>
      </c>
      <c r="G6">
        <v>7467</v>
      </c>
      <c r="H6">
        <v>7422</v>
      </c>
    </row>
    <row r="7" spans="1:9" x14ac:dyDescent="0.3">
      <c r="A7" s="14" t="s">
        <v>146</v>
      </c>
      <c r="B7" s="12" t="s">
        <v>141</v>
      </c>
      <c r="C7">
        <v>45</v>
      </c>
      <c r="D7">
        <v>24</v>
      </c>
      <c r="E7">
        <v>55</v>
      </c>
      <c r="F7">
        <v>175</v>
      </c>
      <c r="G7">
        <v>175</v>
      </c>
      <c r="H7">
        <v>325</v>
      </c>
    </row>
    <row r="8" spans="1:9" x14ac:dyDescent="0.3">
      <c r="A8" s="14" t="s">
        <v>15</v>
      </c>
      <c r="B8" s="12" t="s">
        <v>137</v>
      </c>
      <c r="C8">
        <v>90</v>
      </c>
      <c r="D8">
        <v>90</v>
      </c>
      <c r="E8">
        <v>90</v>
      </c>
      <c r="F8">
        <v>243</v>
      </c>
      <c r="G8">
        <v>377</v>
      </c>
      <c r="H8">
        <v>538</v>
      </c>
    </row>
    <row r="9" spans="1:9" x14ac:dyDescent="0.3">
      <c r="A9" s="14" t="s">
        <v>16</v>
      </c>
      <c r="B9" s="12" t="s">
        <v>138</v>
      </c>
      <c r="F9">
        <v>86</v>
      </c>
      <c r="G9">
        <v>4685</v>
      </c>
      <c r="H9">
        <v>8852</v>
      </c>
    </row>
    <row r="10" spans="1:9" x14ac:dyDescent="0.3">
      <c r="A10" t="s">
        <v>17</v>
      </c>
      <c r="C10">
        <v>800</v>
      </c>
      <c r="D10">
        <v>800</v>
      </c>
      <c r="E10">
        <v>1340</v>
      </c>
      <c r="F10">
        <v>1372</v>
      </c>
      <c r="G10">
        <v>1372</v>
      </c>
      <c r="H10">
        <v>572</v>
      </c>
    </row>
    <row r="11" spans="1:9" x14ac:dyDescent="0.3">
      <c r="A11" s="6" t="s">
        <v>18</v>
      </c>
      <c r="C11">
        <v>39337</v>
      </c>
      <c r="D11">
        <v>42263</v>
      </c>
      <c r="E11">
        <v>46792</v>
      </c>
      <c r="F11">
        <v>50061</v>
      </c>
      <c r="G11">
        <v>56578</v>
      </c>
      <c r="H11">
        <v>62248</v>
      </c>
    </row>
    <row r="12" spans="1:9" x14ac:dyDescent="0.3">
      <c r="A12" s="6" t="s">
        <v>19</v>
      </c>
      <c r="C12">
        <v>25809</v>
      </c>
      <c r="D12">
        <v>28109</v>
      </c>
      <c r="E12">
        <v>30931</v>
      </c>
      <c r="F12">
        <v>35126</v>
      </c>
      <c r="G12">
        <v>38249</v>
      </c>
      <c r="H12">
        <v>38617</v>
      </c>
    </row>
    <row r="13" spans="1:9" x14ac:dyDescent="0.3">
      <c r="A13" t="s">
        <v>20</v>
      </c>
      <c r="C13">
        <v>34.4</v>
      </c>
      <c r="D13">
        <v>33.5</v>
      </c>
      <c r="E13">
        <v>33.9</v>
      </c>
      <c r="F13">
        <v>29.8</v>
      </c>
      <c r="G13">
        <v>32.4</v>
      </c>
      <c r="H13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5155-C431-48CF-8846-E6F819EB5409}">
  <dimension ref="A1:N25"/>
  <sheetViews>
    <sheetView workbookViewId="0">
      <selection sqref="A1:A1048576"/>
    </sheetView>
  </sheetViews>
  <sheetFormatPr defaultRowHeight="14.4" x14ac:dyDescent="0.3"/>
  <cols>
    <col min="1" max="1" width="57.21875" customWidth="1"/>
    <col min="2" max="2" width="21.109375" customWidth="1"/>
  </cols>
  <sheetData>
    <row r="1" spans="1:14" x14ac:dyDescent="0.3">
      <c r="A1" s="13" t="s">
        <v>145</v>
      </c>
      <c r="B1" s="11" t="s">
        <v>143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4" x14ac:dyDescent="0.3">
      <c r="A2" t="s">
        <v>21</v>
      </c>
      <c r="B2" s="12" t="s">
        <v>139</v>
      </c>
      <c r="C2">
        <v>56123</v>
      </c>
      <c r="D2">
        <v>63941</v>
      </c>
      <c r="E2">
        <v>85940</v>
      </c>
      <c r="F2">
        <v>83081</v>
      </c>
      <c r="G2">
        <v>66117</v>
      </c>
      <c r="H2">
        <v>72892</v>
      </c>
    </row>
    <row r="3" spans="1:14" x14ac:dyDescent="0.3">
      <c r="A3" t="s">
        <v>22</v>
      </c>
      <c r="B3" s="12" t="s">
        <v>135</v>
      </c>
      <c r="C3">
        <v>56469</v>
      </c>
      <c r="D3">
        <v>68351</v>
      </c>
      <c r="E3">
        <v>67714</v>
      </c>
      <c r="F3">
        <v>91654</v>
      </c>
      <c r="G3">
        <v>120157</v>
      </c>
      <c r="H3">
        <v>123177</v>
      </c>
    </row>
    <row r="4" spans="1:14" x14ac:dyDescent="0.3">
      <c r="A4" t="s">
        <v>23</v>
      </c>
      <c r="B4" s="12" t="s">
        <v>140</v>
      </c>
      <c r="C4">
        <v>878</v>
      </c>
      <c r="D4">
        <v>931</v>
      </c>
      <c r="E4">
        <v>97</v>
      </c>
      <c r="F4">
        <v>595</v>
      </c>
      <c r="G4">
        <v>1239</v>
      </c>
      <c r="H4">
        <v>574</v>
      </c>
    </row>
    <row r="5" spans="1:14" x14ac:dyDescent="0.3">
      <c r="A5" t="s">
        <v>24</v>
      </c>
      <c r="B5" s="12" t="s">
        <v>136</v>
      </c>
      <c r="C5">
        <v>114</v>
      </c>
      <c r="D5">
        <v>251</v>
      </c>
      <c r="E5">
        <v>53</v>
      </c>
      <c r="F5">
        <v>156</v>
      </c>
      <c r="G5">
        <v>974</v>
      </c>
      <c r="H5">
        <v>489</v>
      </c>
    </row>
    <row r="6" spans="1:14" x14ac:dyDescent="0.3">
      <c r="A6" t="s">
        <v>27</v>
      </c>
      <c r="B6" s="12" t="s">
        <v>142</v>
      </c>
      <c r="C6">
        <v>48148</v>
      </c>
      <c r="D6">
        <v>45365</v>
      </c>
      <c r="E6">
        <v>40347</v>
      </c>
      <c r="F6">
        <v>40701</v>
      </c>
      <c r="G6">
        <v>42507</v>
      </c>
      <c r="H6">
        <v>34802</v>
      </c>
    </row>
    <row r="7" spans="1:14" x14ac:dyDescent="0.3">
      <c r="A7" s="14" t="s">
        <v>146</v>
      </c>
      <c r="B7" s="12" t="s">
        <v>141</v>
      </c>
      <c r="C7">
        <v>70</v>
      </c>
      <c r="D7">
        <v>122</v>
      </c>
      <c r="E7">
        <v>208</v>
      </c>
      <c r="F7">
        <v>488</v>
      </c>
      <c r="G7">
        <v>350</v>
      </c>
      <c r="H7">
        <v>340</v>
      </c>
    </row>
    <row r="8" spans="1:14" x14ac:dyDescent="0.3">
      <c r="A8" s="14" t="s">
        <v>15</v>
      </c>
      <c r="B8" s="12" t="s">
        <v>137</v>
      </c>
      <c r="C8">
        <v>121</v>
      </c>
      <c r="D8">
        <v>201</v>
      </c>
      <c r="E8">
        <v>350</v>
      </c>
      <c r="F8">
        <v>487</v>
      </c>
      <c r="G8">
        <v>724</v>
      </c>
      <c r="H8">
        <v>982</v>
      </c>
    </row>
    <row r="9" spans="1:14" x14ac:dyDescent="0.3">
      <c r="A9" s="14" t="s">
        <v>16</v>
      </c>
      <c r="B9" s="12" t="s">
        <v>138</v>
      </c>
      <c r="F9">
        <v>22</v>
      </c>
      <c r="G9">
        <v>4818</v>
      </c>
      <c r="H9">
        <v>9575</v>
      </c>
    </row>
    <row r="10" spans="1:14" x14ac:dyDescent="0.3">
      <c r="A10" t="s">
        <v>17</v>
      </c>
      <c r="C10">
        <v>2393</v>
      </c>
      <c r="D10">
        <v>2736</v>
      </c>
      <c r="E10">
        <v>2361</v>
      </c>
      <c r="F10">
        <v>3124</v>
      </c>
      <c r="G10">
        <v>3316</v>
      </c>
      <c r="H10">
        <v>3067</v>
      </c>
    </row>
    <row r="11" spans="1:14" x14ac:dyDescent="0.3">
      <c r="A11" t="s">
        <v>34</v>
      </c>
      <c r="C11">
        <v>1416</v>
      </c>
      <c r="D11">
        <v>1409</v>
      </c>
      <c r="E11">
        <v>1650</v>
      </c>
      <c r="F11">
        <v>1509</v>
      </c>
      <c r="G11">
        <v>2067</v>
      </c>
      <c r="H11">
        <v>1555</v>
      </c>
    </row>
    <row r="12" spans="1:14" x14ac:dyDescent="0.3">
      <c r="A12" s="6" t="s">
        <v>35</v>
      </c>
      <c r="B12" s="6"/>
      <c r="C12">
        <v>164316</v>
      </c>
      <c r="D12">
        <v>181898</v>
      </c>
      <c r="E12">
        <v>197070</v>
      </c>
      <c r="F12">
        <v>220308</v>
      </c>
      <c r="G12">
        <v>240202</v>
      </c>
      <c r="H12">
        <v>245898</v>
      </c>
      <c r="I12">
        <f>C2+C3+C4+C5+C6+C7+C8+C9+C10</f>
        <v>164316</v>
      </c>
      <c r="J12">
        <f t="shared" ref="J12:N12" si="0">D2+D3+D4+D5+D6+D7+D8+D9+D10</f>
        <v>181898</v>
      </c>
      <c r="K12">
        <f t="shared" si="0"/>
        <v>197070</v>
      </c>
      <c r="L12">
        <f t="shared" si="0"/>
        <v>220308</v>
      </c>
      <c r="M12">
        <f t="shared" si="0"/>
        <v>240202</v>
      </c>
      <c r="N12">
        <f t="shared" si="0"/>
        <v>245898</v>
      </c>
    </row>
    <row r="13" spans="1:14" x14ac:dyDescent="0.3">
      <c r="A13" s="6" t="s">
        <v>47</v>
      </c>
      <c r="B13" s="6"/>
    </row>
    <row r="14" spans="1:14" x14ac:dyDescent="0.3">
      <c r="A14" t="s">
        <v>36</v>
      </c>
      <c r="C14">
        <v>2327</v>
      </c>
      <c r="D14">
        <v>3629</v>
      </c>
      <c r="E14">
        <v>4340</v>
      </c>
      <c r="F14">
        <v>5434</v>
      </c>
      <c r="G14">
        <v>6593</v>
      </c>
      <c r="H14">
        <v>7388</v>
      </c>
    </row>
    <row r="15" spans="1:14" x14ac:dyDescent="0.3">
      <c r="A15" t="s">
        <v>37</v>
      </c>
      <c r="C15">
        <v>77063</v>
      </c>
      <c r="D15">
        <v>85849</v>
      </c>
      <c r="E15">
        <v>95572</v>
      </c>
      <c r="F15">
        <v>105838</v>
      </c>
      <c r="G15">
        <v>113595</v>
      </c>
      <c r="H15">
        <v>117675</v>
      </c>
    </row>
    <row r="16" spans="1:14" x14ac:dyDescent="0.3">
      <c r="A16" t="s">
        <v>38</v>
      </c>
      <c r="C16">
        <v>7546</v>
      </c>
      <c r="D16">
        <v>8772</v>
      </c>
      <c r="E16">
        <v>9596</v>
      </c>
      <c r="F16">
        <v>10776</v>
      </c>
      <c r="G16">
        <v>11776</v>
      </c>
      <c r="H16">
        <v>10352</v>
      </c>
    </row>
    <row r="17" spans="1:14" x14ac:dyDescent="0.3">
      <c r="A17" t="s">
        <v>39</v>
      </c>
      <c r="C17">
        <v>50374</v>
      </c>
      <c r="D17">
        <v>55227</v>
      </c>
      <c r="E17">
        <v>57704</v>
      </c>
      <c r="F17">
        <v>62241</v>
      </c>
      <c r="G17">
        <v>69061</v>
      </c>
      <c r="H17">
        <v>73158</v>
      </c>
    </row>
    <row r="18" spans="1:14" x14ac:dyDescent="0.3">
      <c r="A18" t="s">
        <v>40</v>
      </c>
      <c r="C18">
        <v>5432</v>
      </c>
      <c r="D18">
        <v>6036</v>
      </c>
      <c r="E18">
        <v>6581</v>
      </c>
      <c r="F18">
        <v>7340</v>
      </c>
      <c r="G18">
        <v>8209</v>
      </c>
      <c r="H18">
        <v>8973</v>
      </c>
    </row>
    <row r="19" spans="1:14" x14ac:dyDescent="0.3">
      <c r="A19" s="6" t="s">
        <v>18</v>
      </c>
      <c r="B19" s="6"/>
      <c r="C19">
        <v>142742</v>
      </c>
      <c r="D19">
        <v>159513</v>
      </c>
      <c r="E19">
        <v>173793</v>
      </c>
      <c r="F19">
        <v>191629</v>
      </c>
      <c r="G19">
        <v>209234</v>
      </c>
      <c r="H19">
        <v>217546</v>
      </c>
      <c r="I19">
        <f>SUM(C14:C18)</f>
        <v>142742</v>
      </c>
      <c r="J19">
        <f t="shared" ref="J19:N19" si="1">SUM(D14:D18)</f>
        <v>159513</v>
      </c>
      <c r="K19">
        <f t="shared" si="1"/>
        <v>173793</v>
      </c>
      <c r="L19">
        <f t="shared" si="1"/>
        <v>191629</v>
      </c>
      <c r="M19">
        <f t="shared" si="1"/>
        <v>209234</v>
      </c>
      <c r="N19">
        <f t="shared" si="1"/>
        <v>217546</v>
      </c>
    </row>
    <row r="20" spans="1:14" x14ac:dyDescent="0.3">
      <c r="A20" t="s">
        <v>41</v>
      </c>
      <c r="C20">
        <v>7.94</v>
      </c>
      <c r="D20">
        <v>7.57</v>
      </c>
      <c r="E20">
        <v>7.24</v>
      </c>
      <c r="F20">
        <v>7.04</v>
      </c>
      <c r="G20">
        <v>6.5</v>
      </c>
      <c r="H20">
        <v>6.42</v>
      </c>
    </row>
    <row r="21" spans="1:14" x14ac:dyDescent="0.3">
      <c r="A21" s="6" t="s">
        <v>32</v>
      </c>
      <c r="B21" s="6"/>
    </row>
    <row r="22" spans="1:14" x14ac:dyDescent="0.3">
      <c r="A22" t="s">
        <v>42</v>
      </c>
      <c r="C22">
        <v>2281</v>
      </c>
      <c r="D22">
        <v>1651</v>
      </c>
      <c r="E22">
        <v>1029</v>
      </c>
      <c r="F22">
        <v>724</v>
      </c>
      <c r="G22">
        <v>1071</v>
      </c>
      <c r="H22">
        <v>356</v>
      </c>
    </row>
    <row r="23" spans="1:14" x14ac:dyDescent="0.3">
      <c r="A23" t="s">
        <v>43</v>
      </c>
      <c r="C23">
        <v>13.36</v>
      </c>
      <c r="D23">
        <v>10.6</v>
      </c>
      <c r="E23">
        <v>7.04</v>
      </c>
      <c r="F23">
        <v>4.79</v>
      </c>
      <c r="G23">
        <v>6.57</v>
      </c>
      <c r="H23">
        <v>3.11</v>
      </c>
    </row>
    <row r="24" spans="1:14" x14ac:dyDescent="0.3">
      <c r="A24" t="s">
        <v>44</v>
      </c>
      <c r="C24">
        <v>2.0299999999999998</v>
      </c>
      <c r="D24">
        <v>1.51</v>
      </c>
      <c r="E24">
        <v>0.94</v>
      </c>
      <c r="F24">
        <v>0.78</v>
      </c>
      <c r="G24">
        <v>0.89</v>
      </c>
      <c r="H24">
        <v>0.77</v>
      </c>
    </row>
    <row r="25" spans="1:14" x14ac:dyDescent="0.3">
      <c r="A25" t="s">
        <v>45</v>
      </c>
      <c r="C25">
        <v>0.81540000000000001</v>
      </c>
      <c r="D25">
        <v>0.91849999999999998</v>
      </c>
      <c r="E25">
        <v>0.8649</v>
      </c>
      <c r="F25">
        <v>0.91300000000000003</v>
      </c>
      <c r="G25">
        <v>0.8458</v>
      </c>
      <c r="H2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0D24-CCF2-4A85-8875-2CE1DB07434F}">
  <dimension ref="A1:G47"/>
  <sheetViews>
    <sheetView topLeftCell="A31" workbookViewId="0">
      <selection activeCell="H17" sqref="H17"/>
    </sheetView>
  </sheetViews>
  <sheetFormatPr defaultRowHeight="14.4" x14ac:dyDescent="0.3"/>
  <cols>
    <col min="1" max="1" width="31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30</v>
      </c>
      <c r="B2" s="2"/>
      <c r="C2" s="2"/>
      <c r="D2" s="2"/>
      <c r="E2" s="2"/>
      <c r="F2" s="2"/>
      <c r="G2" s="2"/>
    </row>
    <row r="3" spans="1:7" x14ac:dyDescent="0.3">
      <c r="A3" t="s">
        <v>7</v>
      </c>
      <c r="B3">
        <v>16587</v>
      </c>
      <c r="C3">
        <v>17824</v>
      </c>
      <c r="D3">
        <v>19288</v>
      </c>
      <c r="E3">
        <v>20170</v>
      </c>
      <c r="F3">
        <v>20632</v>
      </c>
      <c r="G3">
        <v>20859</v>
      </c>
    </row>
    <row r="4" spans="1:7" x14ac:dyDescent="0.3">
      <c r="A4" t="s">
        <v>8</v>
      </c>
      <c r="B4">
        <v>12903</v>
      </c>
      <c r="C4">
        <v>14595</v>
      </c>
      <c r="D4">
        <v>17089</v>
      </c>
      <c r="E4">
        <v>18945</v>
      </c>
      <c r="F4">
        <v>20267</v>
      </c>
      <c r="G4">
        <v>22077</v>
      </c>
    </row>
    <row r="5" spans="1:7" x14ac:dyDescent="0.3">
      <c r="A5" t="s">
        <v>9</v>
      </c>
      <c r="B5">
        <v>875</v>
      </c>
      <c r="C5">
        <v>1439</v>
      </c>
      <c r="D5">
        <v>1439</v>
      </c>
      <c r="E5">
        <v>1579</v>
      </c>
      <c r="F5">
        <v>1579</v>
      </c>
      <c r="G5">
        <v>1579</v>
      </c>
    </row>
    <row r="6" spans="1:7" x14ac:dyDescent="0.3">
      <c r="A6" t="s">
        <v>10</v>
      </c>
      <c r="B6">
        <v>39</v>
      </c>
      <c r="C6">
        <v>24</v>
      </c>
      <c r="D6">
        <v>24</v>
      </c>
      <c r="E6">
        <v>24</v>
      </c>
      <c r="F6">
        <v>24</v>
      </c>
      <c r="G6">
        <v>24</v>
      </c>
    </row>
    <row r="7" spans="1:7" x14ac:dyDescent="0.3">
      <c r="A7" t="s">
        <v>11</v>
      </c>
      <c r="B7">
        <v>7998</v>
      </c>
      <c r="C7">
        <v>7467</v>
      </c>
      <c r="D7">
        <v>7467</v>
      </c>
      <c r="E7">
        <v>7467</v>
      </c>
      <c r="F7">
        <v>7467</v>
      </c>
      <c r="G7">
        <v>7422</v>
      </c>
    </row>
    <row r="8" spans="1:7" x14ac:dyDescent="0.3">
      <c r="A8" s="5" t="s">
        <v>12</v>
      </c>
      <c r="B8">
        <v>7182</v>
      </c>
      <c r="C8">
        <v>7446</v>
      </c>
      <c r="D8">
        <v>7446</v>
      </c>
      <c r="E8">
        <v>7446</v>
      </c>
      <c r="F8">
        <v>7446</v>
      </c>
      <c r="G8">
        <v>7398</v>
      </c>
    </row>
    <row r="9" spans="1:7" x14ac:dyDescent="0.3">
      <c r="A9" s="5" t="s">
        <v>11</v>
      </c>
      <c r="B9">
        <v>816</v>
      </c>
      <c r="C9">
        <v>21</v>
      </c>
      <c r="D9">
        <v>21</v>
      </c>
      <c r="E9">
        <v>21</v>
      </c>
      <c r="F9">
        <v>21</v>
      </c>
      <c r="G9">
        <v>24</v>
      </c>
    </row>
    <row r="10" spans="1:7" x14ac:dyDescent="0.3">
      <c r="A10" t="s">
        <v>13</v>
      </c>
      <c r="B10">
        <v>135</v>
      </c>
      <c r="C10">
        <v>114</v>
      </c>
      <c r="D10">
        <v>145</v>
      </c>
      <c r="E10">
        <v>504</v>
      </c>
      <c r="F10">
        <v>5237</v>
      </c>
      <c r="G10">
        <v>9715</v>
      </c>
    </row>
    <row r="11" spans="1:7" x14ac:dyDescent="0.3">
      <c r="A11" s="5" t="s">
        <v>14</v>
      </c>
      <c r="B11">
        <v>45</v>
      </c>
      <c r="C11">
        <v>24</v>
      </c>
      <c r="D11">
        <v>55</v>
      </c>
      <c r="E11">
        <v>175</v>
      </c>
      <c r="F11">
        <v>175</v>
      </c>
      <c r="G11">
        <v>325</v>
      </c>
    </row>
    <row r="12" spans="1:7" x14ac:dyDescent="0.3">
      <c r="A12" s="5" t="s">
        <v>15</v>
      </c>
      <c r="B12">
        <v>90</v>
      </c>
      <c r="C12">
        <v>90</v>
      </c>
      <c r="D12">
        <v>90</v>
      </c>
      <c r="E12">
        <v>243</v>
      </c>
      <c r="F12">
        <v>377</v>
      </c>
      <c r="G12">
        <v>538</v>
      </c>
    </row>
    <row r="13" spans="1:7" x14ac:dyDescent="0.3">
      <c r="A13" s="5" t="s">
        <v>16</v>
      </c>
      <c r="B13" t="s">
        <v>29</v>
      </c>
      <c r="C13" t="s">
        <v>29</v>
      </c>
      <c r="D13" t="s">
        <v>29</v>
      </c>
      <c r="E13">
        <v>86</v>
      </c>
      <c r="F13">
        <v>4685</v>
      </c>
      <c r="G13">
        <v>8852</v>
      </c>
    </row>
    <row r="14" spans="1:7" x14ac:dyDescent="0.3">
      <c r="A14" t="s">
        <v>17</v>
      </c>
      <c r="B14">
        <v>800</v>
      </c>
      <c r="C14">
        <v>800</v>
      </c>
      <c r="D14">
        <v>1340</v>
      </c>
      <c r="E14">
        <v>1372</v>
      </c>
      <c r="F14">
        <v>1372</v>
      </c>
      <c r="G14">
        <v>572</v>
      </c>
    </row>
    <row r="15" spans="1:7" x14ac:dyDescent="0.3">
      <c r="A15" s="6" t="s">
        <v>18</v>
      </c>
      <c r="B15">
        <v>39337</v>
      </c>
      <c r="C15">
        <v>42263</v>
      </c>
      <c r="D15">
        <v>46792</v>
      </c>
      <c r="E15">
        <v>50061</v>
      </c>
      <c r="F15">
        <v>56578</v>
      </c>
      <c r="G15">
        <v>62248</v>
      </c>
    </row>
    <row r="16" spans="1:7" x14ac:dyDescent="0.3">
      <c r="A16" s="6" t="s">
        <v>19</v>
      </c>
      <c r="B16">
        <v>25809</v>
      </c>
      <c r="C16">
        <v>28109</v>
      </c>
      <c r="D16">
        <v>30931</v>
      </c>
      <c r="E16">
        <v>35126</v>
      </c>
      <c r="F16">
        <v>38249</v>
      </c>
      <c r="G16">
        <v>38617</v>
      </c>
    </row>
    <row r="17" spans="1:7" x14ac:dyDescent="0.3">
      <c r="A17" t="s">
        <v>20</v>
      </c>
      <c r="B17">
        <v>34.4</v>
      </c>
      <c r="C17">
        <v>33.5</v>
      </c>
      <c r="D17">
        <v>33.9</v>
      </c>
      <c r="E17">
        <v>29.8</v>
      </c>
      <c r="F17">
        <v>32.4</v>
      </c>
      <c r="G17">
        <v>38</v>
      </c>
    </row>
    <row r="18" spans="1:7" x14ac:dyDescent="0.3">
      <c r="A18" s="3" t="s">
        <v>31</v>
      </c>
    </row>
    <row r="19" spans="1:7" x14ac:dyDescent="0.3">
      <c r="A19" t="s">
        <v>21</v>
      </c>
      <c r="B19">
        <v>56123</v>
      </c>
      <c r="C19">
        <v>63941</v>
      </c>
      <c r="D19">
        <v>85940</v>
      </c>
      <c r="E19">
        <v>83081</v>
      </c>
      <c r="F19">
        <v>66117</v>
      </c>
      <c r="G19">
        <v>72892</v>
      </c>
    </row>
    <row r="20" spans="1:7" x14ac:dyDescent="0.3">
      <c r="A20" t="s">
        <v>22</v>
      </c>
      <c r="B20">
        <v>56469</v>
      </c>
      <c r="C20">
        <v>68351</v>
      </c>
      <c r="D20">
        <v>67714</v>
      </c>
      <c r="E20">
        <v>91654</v>
      </c>
      <c r="F20">
        <v>120157</v>
      </c>
      <c r="G20">
        <v>123177</v>
      </c>
    </row>
    <row r="21" spans="1:7" x14ac:dyDescent="0.3">
      <c r="A21" t="s">
        <v>23</v>
      </c>
      <c r="B21">
        <v>878</v>
      </c>
      <c r="C21">
        <v>931</v>
      </c>
      <c r="D21">
        <v>97</v>
      </c>
      <c r="E21">
        <v>595</v>
      </c>
      <c r="F21">
        <v>1239</v>
      </c>
      <c r="G21">
        <v>574</v>
      </c>
    </row>
    <row r="22" spans="1:7" x14ac:dyDescent="0.3">
      <c r="A22" t="s">
        <v>24</v>
      </c>
      <c r="B22">
        <v>114</v>
      </c>
      <c r="C22">
        <v>251</v>
      </c>
      <c r="D22">
        <v>53</v>
      </c>
      <c r="E22">
        <v>156</v>
      </c>
      <c r="F22">
        <v>974</v>
      </c>
      <c r="G22">
        <v>489</v>
      </c>
    </row>
    <row r="23" spans="1:7" x14ac:dyDescent="0.3">
      <c r="A23" s="5" t="s">
        <v>25</v>
      </c>
      <c r="B23">
        <v>105</v>
      </c>
      <c r="C23">
        <v>237</v>
      </c>
      <c r="D23">
        <v>42</v>
      </c>
      <c r="E23">
        <v>145</v>
      </c>
      <c r="F23">
        <v>921</v>
      </c>
      <c r="G23">
        <v>474</v>
      </c>
    </row>
    <row r="24" spans="1:7" x14ac:dyDescent="0.3">
      <c r="A24" s="5" t="s">
        <v>26</v>
      </c>
      <c r="B24">
        <v>9</v>
      </c>
      <c r="C24">
        <v>14</v>
      </c>
      <c r="D24">
        <v>11</v>
      </c>
      <c r="E24">
        <v>11</v>
      </c>
      <c r="F24">
        <v>53</v>
      </c>
      <c r="G24">
        <v>15</v>
      </c>
    </row>
    <row r="25" spans="1:7" x14ac:dyDescent="0.3">
      <c r="A25" t="s">
        <v>27</v>
      </c>
      <c r="B25">
        <v>48148</v>
      </c>
      <c r="C25">
        <v>45365</v>
      </c>
      <c r="D25">
        <v>40347</v>
      </c>
      <c r="E25">
        <v>40701</v>
      </c>
      <c r="F25">
        <v>42507</v>
      </c>
      <c r="G25">
        <v>34802</v>
      </c>
    </row>
    <row r="26" spans="1:7" x14ac:dyDescent="0.3">
      <c r="A26" s="5" t="s">
        <v>28</v>
      </c>
      <c r="B26">
        <v>47475</v>
      </c>
      <c r="C26">
        <v>45242</v>
      </c>
      <c r="D26">
        <v>40201</v>
      </c>
      <c r="E26">
        <v>40562</v>
      </c>
      <c r="F26">
        <v>42402</v>
      </c>
      <c r="G26">
        <v>34657</v>
      </c>
    </row>
    <row r="27" spans="1:7" x14ac:dyDescent="0.3">
      <c r="A27" s="5" t="s">
        <v>33</v>
      </c>
      <c r="B27">
        <v>673</v>
      </c>
      <c r="C27">
        <v>123</v>
      </c>
      <c r="D27">
        <v>146</v>
      </c>
      <c r="E27">
        <v>139</v>
      </c>
      <c r="F27">
        <v>105</v>
      </c>
      <c r="G27">
        <v>145</v>
      </c>
    </row>
    <row r="28" spans="1:7" x14ac:dyDescent="0.3">
      <c r="A28" t="s">
        <v>13</v>
      </c>
      <c r="B28">
        <v>191</v>
      </c>
      <c r="C28">
        <v>323</v>
      </c>
      <c r="D28">
        <v>558</v>
      </c>
      <c r="E28">
        <v>997</v>
      </c>
      <c r="F28">
        <v>5892</v>
      </c>
      <c r="G28">
        <v>10897</v>
      </c>
    </row>
    <row r="29" spans="1:7" x14ac:dyDescent="0.3">
      <c r="A29" s="5" t="s">
        <v>14</v>
      </c>
      <c r="B29">
        <v>70</v>
      </c>
      <c r="C29">
        <v>122</v>
      </c>
      <c r="D29">
        <v>208</v>
      </c>
      <c r="E29">
        <v>488</v>
      </c>
      <c r="F29">
        <v>350</v>
      </c>
      <c r="G29">
        <v>340</v>
      </c>
    </row>
    <row r="30" spans="1:7" x14ac:dyDescent="0.3">
      <c r="A30" s="5" t="s">
        <v>15</v>
      </c>
      <c r="B30">
        <v>121</v>
      </c>
      <c r="C30">
        <v>201</v>
      </c>
      <c r="D30">
        <v>350</v>
      </c>
      <c r="E30">
        <v>487</v>
      </c>
      <c r="F30">
        <v>724</v>
      </c>
      <c r="G30">
        <v>982</v>
      </c>
    </row>
    <row r="31" spans="1:7" x14ac:dyDescent="0.3">
      <c r="A31" s="5" t="s">
        <v>16</v>
      </c>
      <c r="B31" t="s">
        <v>29</v>
      </c>
      <c r="C31" t="s">
        <v>29</v>
      </c>
      <c r="D31" t="s">
        <v>29</v>
      </c>
      <c r="E31">
        <v>22</v>
      </c>
      <c r="F31">
        <v>4818</v>
      </c>
      <c r="G31">
        <v>9575</v>
      </c>
    </row>
    <row r="32" spans="1:7" x14ac:dyDescent="0.3">
      <c r="A32" t="s">
        <v>17</v>
      </c>
      <c r="B32">
        <v>2393</v>
      </c>
      <c r="C32">
        <v>2736</v>
      </c>
      <c r="D32">
        <v>2361</v>
      </c>
      <c r="E32">
        <v>3124</v>
      </c>
      <c r="F32">
        <v>3316</v>
      </c>
      <c r="G32">
        <v>3067</v>
      </c>
    </row>
    <row r="33" spans="1:7" x14ac:dyDescent="0.3">
      <c r="A33" t="s">
        <v>34</v>
      </c>
      <c r="B33">
        <v>1416</v>
      </c>
      <c r="C33">
        <v>1409</v>
      </c>
      <c r="D33">
        <v>1650</v>
      </c>
      <c r="E33">
        <v>1509</v>
      </c>
      <c r="F33">
        <v>2067</v>
      </c>
      <c r="G33">
        <v>1555</v>
      </c>
    </row>
    <row r="34" spans="1:7" x14ac:dyDescent="0.3">
      <c r="A34" s="6" t="s">
        <v>35</v>
      </c>
      <c r="B34">
        <v>164316</v>
      </c>
      <c r="C34">
        <v>181898</v>
      </c>
      <c r="D34">
        <v>197070</v>
      </c>
      <c r="E34">
        <v>220308</v>
      </c>
      <c r="F34">
        <v>240202</v>
      </c>
      <c r="G34">
        <v>245898</v>
      </c>
    </row>
    <row r="35" spans="1:7" x14ac:dyDescent="0.3">
      <c r="A35" s="6" t="s">
        <v>47</v>
      </c>
    </row>
    <row r="36" spans="1:7" x14ac:dyDescent="0.3">
      <c r="A36" t="s">
        <v>36</v>
      </c>
      <c r="B36">
        <v>2327</v>
      </c>
      <c r="C36">
        <v>3629</v>
      </c>
      <c r="D36">
        <v>4340</v>
      </c>
      <c r="E36">
        <v>5434</v>
      </c>
      <c r="F36">
        <v>6593</v>
      </c>
      <c r="G36">
        <v>7388</v>
      </c>
    </row>
    <row r="37" spans="1:7" x14ac:dyDescent="0.3">
      <c r="A37" t="s">
        <v>37</v>
      </c>
      <c r="B37">
        <v>77063</v>
      </c>
      <c r="C37">
        <v>85849</v>
      </c>
      <c r="D37">
        <v>95572</v>
      </c>
      <c r="E37">
        <v>105838</v>
      </c>
      <c r="F37">
        <v>113595</v>
      </c>
      <c r="G37">
        <v>117675</v>
      </c>
    </row>
    <row r="38" spans="1:7" x14ac:dyDescent="0.3">
      <c r="A38" t="s">
        <v>38</v>
      </c>
      <c r="B38">
        <v>7546</v>
      </c>
      <c r="C38">
        <v>8772</v>
      </c>
      <c r="D38">
        <v>9596</v>
      </c>
      <c r="E38">
        <v>10776</v>
      </c>
      <c r="F38">
        <v>11776</v>
      </c>
      <c r="G38">
        <v>10352</v>
      </c>
    </row>
    <row r="39" spans="1:7" x14ac:dyDescent="0.3">
      <c r="A39" t="s">
        <v>39</v>
      </c>
      <c r="B39">
        <v>50374</v>
      </c>
      <c r="C39">
        <v>55227</v>
      </c>
      <c r="D39">
        <v>57704</v>
      </c>
      <c r="E39">
        <v>62241</v>
      </c>
      <c r="F39">
        <v>69061</v>
      </c>
      <c r="G39">
        <v>73158</v>
      </c>
    </row>
    <row r="40" spans="1:7" x14ac:dyDescent="0.3">
      <c r="A40" t="s">
        <v>40</v>
      </c>
      <c r="B40">
        <v>5432</v>
      </c>
      <c r="C40">
        <v>6036</v>
      </c>
      <c r="D40">
        <v>6581</v>
      </c>
      <c r="E40">
        <v>7340</v>
      </c>
      <c r="F40">
        <v>8209</v>
      </c>
      <c r="G40">
        <v>8973</v>
      </c>
    </row>
    <row r="41" spans="1:7" x14ac:dyDescent="0.3">
      <c r="A41" s="6" t="s">
        <v>18</v>
      </c>
      <c r="B41">
        <v>142742</v>
      </c>
      <c r="C41">
        <v>159513</v>
      </c>
      <c r="D41">
        <v>173793</v>
      </c>
      <c r="E41">
        <v>191629</v>
      </c>
      <c r="F41">
        <v>209234</v>
      </c>
      <c r="G41">
        <v>217546</v>
      </c>
    </row>
    <row r="42" spans="1:7" x14ac:dyDescent="0.3">
      <c r="A42" t="s">
        <v>41</v>
      </c>
      <c r="B42">
        <v>7.94</v>
      </c>
      <c r="C42">
        <v>7.57</v>
      </c>
      <c r="D42">
        <v>7.24</v>
      </c>
      <c r="E42">
        <v>7.04</v>
      </c>
      <c r="F42">
        <v>6.5</v>
      </c>
      <c r="G42">
        <v>6.42</v>
      </c>
    </row>
    <row r="43" spans="1:7" x14ac:dyDescent="0.3">
      <c r="A43" s="6" t="s">
        <v>32</v>
      </c>
    </row>
    <row r="44" spans="1:7" x14ac:dyDescent="0.3">
      <c r="A44" t="s">
        <v>42</v>
      </c>
      <c r="B44">
        <v>2281</v>
      </c>
      <c r="C44">
        <v>1651</v>
      </c>
      <c r="D44">
        <v>1029</v>
      </c>
      <c r="E44">
        <v>724</v>
      </c>
      <c r="F44">
        <v>1071</v>
      </c>
      <c r="G44">
        <v>356</v>
      </c>
    </row>
    <row r="45" spans="1:7" x14ac:dyDescent="0.3">
      <c r="A45" t="s">
        <v>43</v>
      </c>
      <c r="B45">
        <v>13.36</v>
      </c>
      <c r="C45">
        <v>10.6</v>
      </c>
      <c r="D45">
        <v>7.04</v>
      </c>
      <c r="E45">
        <v>4.79</v>
      </c>
      <c r="F45">
        <v>6.57</v>
      </c>
      <c r="G45">
        <v>3.11</v>
      </c>
    </row>
    <row r="46" spans="1:7" x14ac:dyDescent="0.3">
      <c r="A46" t="s">
        <v>44</v>
      </c>
      <c r="B46">
        <v>2.0299999999999998</v>
      </c>
      <c r="C46">
        <v>1.51</v>
      </c>
      <c r="D46">
        <v>0.94</v>
      </c>
      <c r="E46">
        <v>0.78</v>
      </c>
      <c r="F46">
        <v>0.89</v>
      </c>
      <c r="G46">
        <v>0.77</v>
      </c>
    </row>
    <row r="47" spans="1:7" x14ac:dyDescent="0.3">
      <c r="A47" t="s">
        <v>45</v>
      </c>
      <c r="B47">
        <v>0.81540000000000001</v>
      </c>
      <c r="C47">
        <v>0.91849999999999998</v>
      </c>
      <c r="D47">
        <v>0.8649</v>
      </c>
      <c r="E47">
        <v>0.91300000000000003</v>
      </c>
      <c r="F47">
        <v>0.8458</v>
      </c>
      <c r="G47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58E2-00A1-4977-A88F-59E267D57995}">
  <dimension ref="A1:I80"/>
  <sheetViews>
    <sheetView tabSelected="1" workbookViewId="0">
      <selection activeCell="D13" sqref="D13"/>
    </sheetView>
  </sheetViews>
  <sheetFormatPr defaultRowHeight="14.4" x14ac:dyDescent="0.3"/>
  <cols>
    <col min="1" max="1" width="8.6640625" style="7" customWidth="1"/>
    <col min="2" max="2" width="41.33203125" customWidth="1"/>
    <col min="3" max="3" width="12" style="12" bestFit="1" customWidth="1"/>
    <col min="11" max="11" width="12" bestFit="1" customWidth="1"/>
  </cols>
  <sheetData>
    <row r="1" spans="1:9" s="6" customFormat="1" x14ac:dyDescent="0.3">
      <c r="A1" s="8" t="s">
        <v>48</v>
      </c>
      <c r="B1" s="6" t="s">
        <v>49</v>
      </c>
      <c r="C1" s="15">
        <v>2024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  <c r="I1" s="6">
        <v>2020</v>
      </c>
    </row>
    <row r="2" spans="1:9" x14ac:dyDescent="0.3">
      <c r="A2" s="8">
        <v>1000</v>
      </c>
      <c r="B2" s="6" t="s">
        <v>50</v>
      </c>
      <c r="C2" s="16">
        <f>I2/$I$80*$C$80</f>
        <v>9397.9553887999555</v>
      </c>
      <c r="D2" s="6">
        <v>2327</v>
      </c>
      <c r="E2" s="6">
        <v>3629</v>
      </c>
      <c r="F2" s="6">
        <v>4340</v>
      </c>
      <c r="G2" s="6">
        <v>5434</v>
      </c>
      <c r="H2" s="6">
        <v>6593</v>
      </c>
      <c r="I2" s="6">
        <v>7388</v>
      </c>
    </row>
    <row r="3" spans="1:9" x14ac:dyDescent="0.3">
      <c r="A3" s="7">
        <v>1100</v>
      </c>
      <c r="B3" t="s">
        <v>51</v>
      </c>
      <c r="C3" s="16"/>
    </row>
    <row r="4" spans="1:9" x14ac:dyDescent="0.3">
      <c r="A4" s="10">
        <v>1110</v>
      </c>
      <c r="B4" s="9" t="s">
        <v>52</v>
      </c>
      <c r="C4" s="16">
        <f>I4/$I$80*$C$80</f>
        <v>1677.8428746382165</v>
      </c>
      <c r="D4" s="4">
        <v>391</v>
      </c>
      <c r="E4" s="4">
        <v>610</v>
      </c>
      <c r="F4" s="4">
        <v>640</v>
      </c>
      <c r="G4" s="4">
        <v>739</v>
      </c>
      <c r="H4" s="4">
        <v>1065</v>
      </c>
      <c r="I4" s="4">
        <v>1319</v>
      </c>
    </row>
    <row r="5" spans="1:9" x14ac:dyDescent="0.3">
      <c r="A5" s="10">
        <v>1120</v>
      </c>
      <c r="B5" s="9" t="s">
        <v>53</v>
      </c>
      <c r="C5" s="16">
        <f>I5/$I$80*$C$80</f>
        <v>1076.1600242182949</v>
      </c>
      <c r="D5" s="4">
        <v>429</v>
      </c>
      <c r="E5" s="4">
        <v>669</v>
      </c>
      <c r="F5" s="4">
        <v>780</v>
      </c>
      <c r="G5" s="4">
        <v>883</v>
      </c>
      <c r="H5" s="4">
        <v>908</v>
      </c>
      <c r="I5" s="4">
        <v>846</v>
      </c>
    </row>
    <row r="6" spans="1:9" x14ac:dyDescent="0.3">
      <c r="A6" s="7">
        <v>1200</v>
      </c>
      <c r="B6" t="s">
        <v>54</v>
      </c>
      <c r="C6" s="16">
        <f>I6/$I$80*$C$80</f>
        <v>3273.0020594724265</v>
      </c>
      <c r="D6">
        <v>779</v>
      </c>
      <c r="E6">
        <v>1214</v>
      </c>
      <c r="F6">
        <v>1406</v>
      </c>
      <c r="G6">
        <v>1829</v>
      </c>
      <c r="H6">
        <v>2211</v>
      </c>
      <c r="I6">
        <v>2573</v>
      </c>
    </row>
    <row r="7" spans="1:9" x14ac:dyDescent="0.3">
      <c r="A7" s="7">
        <v>1300</v>
      </c>
      <c r="B7" t="s">
        <v>55</v>
      </c>
      <c r="C7" s="16">
        <f>I7/$I$80*$C$80</f>
        <v>59.7866680121275</v>
      </c>
      <c r="D7">
        <v>7</v>
      </c>
      <c r="E7">
        <v>10</v>
      </c>
      <c r="F7">
        <v>16</v>
      </c>
      <c r="G7">
        <v>21</v>
      </c>
      <c r="H7">
        <v>51</v>
      </c>
      <c r="I7">
        <v>47</v>
      </c>
    </row>
    <row r="8" spans="1:9" x14ac:dyDescent="0.3">
      <c r="A8" s="7">
        <v>1400</v>
      </c>
      <c r="B8" t="s">
        <v>56</v>
      </c>
      <c r="C8" s="16">
        <f>I8/$I$80*$C$80</f>
        <v>3311.1637624588907</v>
      </c>
      <c r="D8">
        <v>710</v>
      </c>
      <c r="E8">
        <v>1108</v>
      </c>
      <c r="F8">
        <v>1479</v>
      </c>
      <c r="G8">
        <v>1939</v>
      </c>
      <c r="H8">
        <v>2358</v>
      </c>
      <c r="I8">
        <v>2603</v>
      </c>
    </row>
    <row r="9" spans="1:9" x14ac:dyDescent="0.3">
      <c r="A9" s="7">
        <v>1500</v>
      </c>
      <c r="B9" t="s">
        <v>57</v>
      </c>
      <c r="C9" s="16"/>
      <c r="D9">
        <v>11</v>
      </c>
      <c r="E9">
        <v>18</v>
      </c>
      <c r="F9">
        <v>19</v>
      </c>
      <c r="G9">
        <v>24</v>
      </c>
      <c r="H9" t="s">
        <v>29</v>
      </c>
      <c r="I9" t="s">
        <v>29</v>
      </c>
    </row>
    <row r="10" spans="1:9" x14ac:dyDescent="0.3">
      <c r="A10" s="8">
        <v>2000</v>
      </c>
      <c r="B10" s="6" t="s">
        <v>58</v>
      </c>
      <c r="C10" s="16">
        <f>I10/$I$80*$C$80</f>
        <v>150288.41870129394</v>
      </c>
      <c r="D10" s="6">
        <v>77063</v>
      </c>
      <c r="E10" s="6">
        <v>85849</v>
      </c>
      <c r="F10" s="6">
        <v>95572</v>
      </c>
      <c r="G10" s="6">
        <v>105838</v>
      </c>
      <c r="H10" s="6">
        <v>113595</v>
      </c>
      <c r="I10" s="6">
        <v>118146</v>
      </c>
    </row>
    <row r="11" spans="1:9" x14ac:dyDescent="0.3">
      <c r="A11" s="7">
        <v>2100</v>
      </c>
      <c r="B11" t="s">
        <v>59</v>
      </c>
      <c r="C11" s="16"/>
    </row>
    <row r="12" spans="1:9" x14ac:dyDescent="0.3">
      <c r="A12" s="10">
        <v>2101</v>
      </c>
      <c r="B12" s="9" t="s">
        <v>60</v>
      </c>
      <c r="C12" s="16">
        <f>I12/$I$80*$C$80</f>
        <v>1677.8428746382165</v>
      </c>
      <c r="D12" s="4">
        <v>1399</v>
      </c>
      <c r="E12" s="4">
        <v>1558</v>
      </c>
      <c r="F12" s="4">
        <v>1629</v>
      </c>
      <c r="G12" s="4">
        <v>1601</v>
      </c>
      <c r="H12" s="4">
        <v>1432</v>
      </c>
      <c r="I12" s="4">
        <v>1319</v>
      </c>
    </row>
    <row r="13" spans="1:9" x14ac:dyDescent="0.3">
      <c r="A13" s="10">
        <v>2102</v>
      </c>
      <c r="B13" s="9" t="s">
        <v>61</v>
      </c>
      <c r="C13" s="16">
        <f>I13/$I$80*$C$80</f>
        <v>1076.1600242182949</v>
      </c>
      <c r="D13" s="4">
        <v>119</v>
      </c>
      <c r="E13" s="4">
        <v>133</v>
      </c>
      <c r="F13" s="4">
        <v>160</v>
      </c>
      <c r="G13" s="4">
        <v>213</v>
      </c>
      <c r="H13" s="4">
        <v>198</v>
      </c>
      <c r="I13" s="4">
        <v>846</v>
      </c>
    </row>
    <row r="14" spans="1:9" x14ac:dyDescent="0.3">
      <c r="A14" s="10">
        <v>2103</v>
      </c>
      <c r="B14" s="9" t="s">
        <v>62</v>
      </c>
      <c r="C14" s="16">
        <f>I14/$I$80*$C$80</f>
        <v>3273.0020594724265</v>
      </c>
      <c r="D14" s="4">
        <v>539</v>
      </c>
      <c r="E14" s="4">
        <v>600</v>
      </c>
      <c r="F14" s="4">
        <v>537</v>
      </c>
      <c r="G14" s="4">
        <v>634</v>
      </c>
      <c r="H14" s="4">
        <v>434</v>
      </c>
      <c r="I14" s="4">
        <v>2573</v>
      </c>
    </row>
    <row r="15" spans="1:9" x14ac:dyDescent="0.3">
      <c r="A15" s="10">
        <v>2104</v>
      </c>
      <c r="B15" s="9" t="s">
        <v>63</v>
      </c>
      <c r="C15" s="16">
        <f>I15/$I$80*$C$80</f>
        <v>59.7866680121275</v>
      </c>
      <c r="D15" s="4">
        <v>1587</v>
      </c>
      <c r="E15" s="4">
        <v>1768</v>
      </c>
      <c r="F15" s="4">
        <v>1719</v>
      </c>
      <c r="G15" s="4">
        <v>1950</v>
      </c>
      <c r="H15" s="4">
        <v>1479</v>
      </c>
      <c r="I15" s="4">
        <v>47</v>
      </c>
    </row>
    <row r="16" spans="1:9" x14ac:dyDescent="0.3">
      <c r="A16" s="10">
        <v>2105</v>
      </c>
      <c r="B16" s="9" t="s">
        <v>64</v>
      </c>
      <c r="C16" s="16">
        <f>I16/$I$80*$C$80</f>
        <v>3311.1637624588907</v>
      </c>
      <c r="D16" s="4">
        <v>2337</v>
      </c>
      <c r="E16" s="4">
        <v>2604</v>
      </c>
      <c r="F16" s="4">
        <v>2880</v>
      </c>
      <c r="G16" s="4">
        <v>3547</v>
      </c>
      <c r="H16" s="4">
        <v>3838</v>
      </c>
      <c r="I16" s="4">
        <v>2603</v>
      </c>
    </row>
    <row r="17" spans="1:9" x14ac:dyDescent="0.3">
      <c r="A17" s="7">
        <v>2200</v>
      </c>
      <c r="B17" s="12" t="s">
        <v>65</v>
      </c>
    </row>
    <row r="18" spans="1:9" x14ac:dyDescent="0.3">
      <c r="A18" s="10">
        <v>2201</v>
      </c>
      <c r="B18" s="9" t="s">
        <v>66</v>
      </c>
      <c r="C18" s="12">
        <f>I18/$I$80*$C$80</f>
        <v>17667.596425966785</v>
      </c>
      <c r="D18" s="4">
        <v>11212</v>
      </c>
      <c r="E18" s="4">
        <v>12491</v>
      </c>
      <c r="F18" s="4">
        <v>13249</v>
      </c>
      <c r="G18" s="4">
        <v>14108</v>
      </c>
      <c r="H18" s="4">
        <v>14902</v>
      </c>
      <c r="I18" s="4">
        <v>13889</v>
      </c>
    </row>
    <row r="19" spans="1:9" x14ac:dyDescent="0.3">
      <c r="A19" s="10">
        <v>2202</v>
      </c>
      <c r="B19" s="9" t="s">
        <v>67</v>
      </c>
      <c r="C19" s="12">
        <f>I19/$I$80*$C$80</f>
        <v>4255.0298829907761</v>
      </c>
      <c r="D19" s="4">
        <v>2767</v>
      </c>
      <c r="E19" s="4">
        <v>3082</v>
      </c>
      <c r="F19" s="4">
        <v>3228</v>
      </c>
      <c r="G19" s="4">
        <v>3448</v>
      </c>
      <c r="H19" s="4">
        <v>3637</v>
      </c>
      <c r="I19" s="4">
        <v>3345</v>
      </c>
    </row>
    <row r="20" spans="1:9" x14ac:dyDescent="0.3">
      <c r="A20" s="10">
        <v>2203</v>
      </c>
      <c r="B20" s="9" t="s">
        <v>68</v>
      </c>
      <c r="C20" s="12">
        <f>I20/$I$80*$C$80</f>
        <v>241.69078558094094</v>
      </c>
      <c r="D20" s="4">
        <v>148</v>
      </c>
      <c r="E20" s="4">
        <v>165</v>
      </c>
      <c r="F20" s="4">
        <v>166</v>
      </c>
      <c r="G20" s="4">
        <v>183</v>
      </c>
      <c r="H20" s="4">
        <v>188</v>
      </c>
      <c r="I20" s="4">
        <v>190</v>
      </c>
    </row>
    <row r="21" spans="1:9" x14ac:dyDescent="0.3">
      <c r="A21" s="10">
        <v>2204</v>
      </c>
      <c r="B21" s="9" t="s">
        <v>69</v>
      </c>
      <c r="C21" s="12">
        <f>I21/$I$80*$C$80</f>
        <v>8423.5599058788994</v>
      </c>
      <c r="D21" s="4">
        <v>5191</v>
      </c>
      <c r="E21" s="4">
        <v>5783</v>
      </c>
      <c r="F21" s="4">
        <v>6297</v>
      </c>
      <c r="G21" s="4">
        <v>7023</v>
      </c>
      <c r="H21" s="4">
        <v>7583</v>
      </c>
      <c r="I21" s="4">
        <v>6622</v>
      </c>
    </row>
    <row r="22" spans="1:9" x14ac:dyDescent="0.3">
      <c r="A22" s="10">
        <v>2205</v>
      </c>
      <c r="B22" s="9" t="s">
        <v>70</v>
      </c>
      <c r="C22" s="12">
        <f>I22/$I$80*$C$80</f>
        <v>4117.6477522395044</v>
      </c>
      <c r="D22" s="4">
        <v>2639</v>
      </c>
      <c r="E22" s="4">
        <v>2939</v>
      </c>
      <c r="F22" s="4">
        <v>3245</v>
      </c>
      <c r="G22" s="4">
        <v>3616</v>
      </c>
      <c r="H22" s="4">
        <v>3588</v>
      </c>
      <c r="I22" s="4">
        <v>3237</v>
      </c>
    </row>
    <row r="23" spans="1:9" x14ac:dyDescent="0.3">
      <c r="A23" s="10">
        <v>2206</v>
      </c>
      <c r="B23" s="9" t="s">
        <v>71</v>
      </c>
      <c r="C23" s="12">
        <f>I23/$I$80*$C$80</f>
        <v>4509.4412362338717</v>
      </c>
      <c r="D23" s="4">
        <v>2477</v>
      </c>
      <c r="E23" s="4">
        <v>2759</v>
      </c>
      <c r="F23" s="4">
        <v>3141</v>
      </c>
      <c r="G23" s="4">
        <v>3599</v>
      </c>
      <c r="H23" s="4">
        <v>4125</v>
      </c>
      <c r="I23" s="4">
        <v>3545</v>
      </c>
    </row>
    <row r="24" spans="1:9" x14ac:dyDescent="0.3">
      <c r="A24" s="10">
        <v>2207</v>
      </c>
      <c r="B24" s="9" t="s">
        <v>72</v>
      </c>
      <c r="C24" s="12">
        <f>I24/$I$80*$C$80</f>
        <v>6093.1519101721424</v>
      </c>
      <c r="D24" s="4">
        <v>2897</v>
      </c>
      <c r="E24" s="4">
        <v>3228</v>
      </c>
      <c r="F24" s="4">
        <v>3759</v>
      </c>
      <c r="G24" s="4">
        <v>4404</v>
      </c>
      <c r="H24" s="4">
        <v>4830</v>
      </c>
      <c r="I24" s="4">
        <v>4790</v>
      </c>
    </row>
    <row r="25" spans="1:9" x14ac:dyDescent="0.3">
      <c r="A25" s="10">
        <v>2208</v>
      </c>
      <c r="B25" s="9" t="s">
        <v>73</v>
      </c>
      <c r="C25" s="12">
        <f>I25/$I$80*$C$80</f>
        <v>3788.1850497896953</v>
      </c>
      <c r="D25" s="4">
        <v>2147</v>
      </c>
      <c r="E25" s="4">
        <v>2392</v>
      </c>
      <c r="F25" s="4">
        <v>2591</v>
      </c>
      <c r="G25" s="4">
        <v>2827</v>
      </c>
      <c r="H25" s="4">
        <v>2923</v>
      </c>
      <c r="I25" s="4">
        <v>2978</v>
      </c>
    </row>
    <row r="26" spans="1:9" x14ac:dyDescent="0.3">
      <c r="A26" s="10">
        <v>2209</v>
      </c>
      <c r="B26" s="9" t="s">
        <v>74</v>
      </c>
      <c r="C26" s="12">
        <f>I26/$I$80*$C$80</f>
        <v>454.12426553892584</v>
      </c>
      <c r="D26" s="4">
        <v>261</v>
      </c>
      <c r="E26" s="4">
        <v>291</v>
      </c>
      <c r="F26" s="4">
        <v>308</v>
      </c>
      <c r="G26" s="4">
        <v>357</v>
      </c>
      <c r="H26" s="4">
        <v>403</v>
      </c>
      <c r="I26" s="4">
        <v>357</v>
      </c>
    </row>
    <row r="27" spans="1:9" x14ac:dyDescent="0.3">
      <c r="A27" s="10">
        <v>2210</v>
      </c>
      <c r="B27" s="9" t="s">
        <v>75</v>
      </c>
      <c r="C27" s="12">
        <f>I27/$I$80*$C$80</f>
        <v>231.51433145121709</v>
      </c>
      <c r="D27" s="4">
        <v>109</v>
      </c>
      <c r="E27" s="4">
        <v>122</v>
      </c>
      <c r="F27" s="4">
        <v>254</v>
      </c>
      <c r="G27" s="4">
        <v>259</v>
      </c>
      <c r="H27" s="4">
        <v>238</v>
      </c>
      <c r="I27" s="4">
        <v>182</v>
      </c>
    </row>
    <row r="28" spans="1:9" x14ac:dyDescent="0.3">
      <c r="A28" s="10">
        <v>2211</v>
      </c>
      <c r="B28" s="9" t="s">
        <v>76</v>
      </c>
      <c r="C28" s="12">
        <f>I28/$I$80*$C$80</f>
        <v>2823.9660209983626</v>
      </c>
      <c r="D28" s="4">
        <v>1022</v>
      </c>
      <c r="E28" s="4">
        <v>1139</v>
      </c>
      <c r="F28" s="4">
        <v>1263</v>
      </c>
      <c r="G28" s="4">
        <v>1418</v>
      </c>
      <c r="H28" s="4">
        <v>1907</v>
      </c>
      <c r="I28" s="4">
        <v>2220</v>
      </c>
    </row>
    <row r="29" spans="1:9" x14ac:dyDescent="0.3">
      <c r="A29" s="10">
        <v>2212</v>
      </c>
      <c r="B29" s="9" t="s">
        <v>77</v>
      </c>
      <c r="C29" s="12">
        <f>I29/$I$80*$C$80</f>
        <v>9717.2416371200416</v>
      </c>
      <c r="D29" s="4">
        <v>5136</v>
      </c>
      <c r="E29" s="4">
        <v>5722</v>
      </c>
      <c r="F29" s="4">
        <v>6379</v>
      </c>
      <c r="G29" s="4">
        <v>7203</v>
      </c>
      <c r="H29" s="4">
        <v>7627</v>
      </c>
      <c r="I29" s="4">
        <v>7639</v>
      </c>
    </row>
    <row r="30" spans="1:9" x14ac:dyDescent="0.3">
      <c r="A30" s="10">
        <v>2213</v>
      </c>
      <c r="B30" s="9" t="s">
        <v>78</v>
      </c>
      <c r="C30" s="12">
        <f>I30/$I$80*$C$80</f>
        <v>14496.358907791593</v>
      </c>
      <c r="D30" s="4">
        <v>8672</v>
      </c>
      <c r="E30" s="4">
        <v>9661</v>
      </c>
      <c r="F30" s="4">
        <v>10182</v>
      </c>
      <c r="G30" s="4">
        <v>11402</v>
      </c>
      <c r="H30" s="4">
        <v>11864</v>
      </c>
      <c r="I30" s="4">
        <v>11396</v>
      </c>
    </row>
    <row r="31" spans="1:9" x14ac:dyDescent="0.3">
      <c r="A31" s="10">
        <v>2214</v>
      </c>
      <c r="B31" s="9" t="s">
        <v>79</v>
      </c>
      <c r="C31" s="12">
        <f>I31/$I$80*$C$80</f>
        <v>10902.798543232866</v>
      </c>
      <c r="D31" s="4">
        <v>5232</v>
      </c>
      <c r="E31" s="4">
        <v>5829</v>
      </c>
      <c r="F31" s="4">
        <v>6952</v>
      </c>
      <c r="G31" s="4">
        <v>7334</v>
      </c>
      <c r="H31" s="4">
        <v>8553</v>
      </c>
      <c r="I31" s="4">
        <v>8571</v>
      </c>
    </row>
    <row r="32" spans="1:9" x14ac:dyDescent="0.3">
      <c r="A32" s="10">
        <v>2215</v>
      </c>
      <c r="B32" s="9" t="s">
        <v>80</v>
      </c>
      <c r="C32" s="12">
        <f>I32/$I$80*$C$80</f>
        <v>11009.651311594967</v>
      </c>
      <c r="D32" s="4">
        <v>6467</v>
      </c>
      <c r="E32" s="4">
        <v>7205</v>
      </c>
      <c r="F32" s="4">
        <v>8385</v>
      </c>
      <c r="G32" s="4">
        <v>10055</v>
      </c>
      <c r="H32" s="4">
        <v>8986</v>
      </c>
      <c r="I32" s="4">
        <v>8655</v>
      </c>
    </row>
    <row r="33" spans="1:9" x14ac:dyDescent="0.3">
      <c r="A33" s="10">
        <v>2216</v>
      </c>
      <c r="B33" s="9" t="s">
        <v>81</v>
      </c>
      <c r="C33" s="12">
        <f>I33/$I$80*$C$80</f>
        <v>2077.2686992298763</v>
      </c>
      <c r="D33" s="4">
        <v>1921</v>
      </c>
      <c r="E33" s="4">
        <v>2141</v>
      </c>
      <c r="F33" s="4">
        <v>2110</v>
      </c>
      <c r="G33" s="4">
        <v>2098</v>
      </c>
      <c r="H33" s="4">
        <v>1972</v>
      </c>
      <c r="I33" s="4">
        <v>1633</v>
      </c>
    </row>
    <row r="34" spans="1:9" x14ac:dyDescent="0.3">
      <c r="A34" s="10">
        <v>2217</v>
      </c>
      <c r="B34" s="9" t="s">
        <v>82</v>
      </c>
      <c r="C34" s="12">
        <f>I34/$I$80*$C$80</f>
        <v>3325.1563868872609</v>
      </c>
      <c r="D34" s="4">
        <v>1439</v>
      </c>
      <c r="E34" s="4">
        <v>1603</v>
      </c>
      <c r="F34" s="4">
        <v>2268</v>
      </c>
      <c r="G34" s="4">
        <v>2286</v>
      </c>
      <c r="H34" s="4">
        <v>2538</v>
      </c>
      <c r="I34" s="4">
        <v>2614</v>
      </c>
    </row>
    <row r="35" spans="1:9" x14ac:dyDescent="0.3">
      <c r="A35" s="10">
        <v>2218</v>
      </c>
      <c r="B35" s="9" t="s">
        <v>83</v>
      </c>
      <c r="C35" s="12">
        <f>I35/$I$80*$C$80</f>
        <v>8474.4421765275183</v>
      </c>
      <c r="D35" s="4">
        <v>3907</v>
      </c>
      <c r="E35" s="4">
        <v>4352</v>
      </c>
      <c r="F35" s="4">
        <v>5676</v>
      </c>
      <c r="G35" s="4">
        <v>6529</v>
      </c>
      <c r="H35" s="4">
        <v>6465</v>
      </c>
      <c r="I35" s="4">
        <v>6662</v>
      </c>
    </row>
    <row r="36" spans="1:9" x14ac:dyDescent="0.3">
      <c r="A36" s="10">
        <v>2219</v>
      </c>
      <c r="B36" s="9" t="s">
        <v>84</v>
      </c>
      <c r="C36" s="12">
        <f>I36/$I$80*$C$80</f>
        <v>1152.4834301912235</v>
      </c>
      <c r="D36" s="4">
        <v>600</v>
      </c>
      <c r="E36" s="4">
        <v>668</v>
      </c>
      <c r="F36" s="4">
        <v>826</v>
      </c>
      <c r="G36" s="4">
        <v>980</v>
      </c>
      <c r="H36" s="4">
        <v>1007</v>
      </c>
      <c r="I36" s="4">
        <v>906</v>
      </c>
    </row>
    <row r="37" spans="1:9" x14ac:dyDescent="0.3">
      <c r="A37" s="10">
        <v>2220</v>
      </c>
      <c r="B37" s="9" t="s">
        <v>85</v>
      </c>
      <c r="C37" s="12">
        <f>I37/$I$80*$C$80</f>
        <v>465.57277643486515</v>
      </c>
      <c r="D37" s="4">
        <v>216</v>
      </c>
      <c r="E37" s="4">
        <v>240</v>
      </c>
      <c r="F37" s="4">
        <v>281</v>
      </c>
      <c r="G37" s="4">
        <v>329</v>
      </c>
      <c r="H37" s="4">
        <v>378</v>
      </c>
      <c r="I37" s="4">
        <v>366</v>
      </c>
    </row>
    <row r="38" spans="1:9" x14ac:dyDescent="0.3">
      <c r="A38" s="10">
        <v>2221</v>
      </c>
      <c r="B38" s="9" t="s">
        <v>86</v>
      </c>
      <c r="C38" s="12">
        <f>I38/$I$80*$C$80</f>
        <v>962.94697202511725</v>
      </c>
      <c r="D38" s="4">
        <v>519</v>
      </c>
      <c r="E38" s="4">
        <v>578</v>
      </c>
      <c r="F38" s="4">
        <v>607</v>
      </c>
      <c r="G38" s="4">
        <v>707</v>
      </c>
      <c r="H38" s="4">
        <v>816</v>
      </c>
      <c r="I38" s="4">
        <v>757</v>
      </c>
    </row>
    <row r="39" spans="1:9" x14ac:dyDescent="0.3">
      <c r="A39" s="10">
        <v>2222</v>
      </c>
      <c r="B39" s="9" t="s">
        <v>87</v>
      </c>
      <c r="C39" s="12">
        <f>I39/$I$80*$C$80</f>
        <v>465.57277643486515</v>
      </c>
      <c r="D39" s="4">
        <v>281</v>
      </c>
      <c r="E39" s="4">
        <v>313</v>
      </c>
      <c r="F39" s="4">
        <v>344</v>
      </c>
      <c r="G39" s="4">
        <v>373</v>
      </c>
      <c r="H39" s="4">
        <v>383</v>
      </c>
      <c r="I39" s="4">
        <v>366</v>
      </c>
    </row>
    <row r="40" spans="1:9" x14ac:dyDescent="0.3">
      <c r="A40" s="10">
        <v>2223</v>
      </c>
      <c r="B40" s="9" t="s">
        <v>88</v>
      </c>
      <c r="C40" s="12">
        <f>I40/$I$80*$C$80</f>
        <v>933.68966640216138</v>
      </c>
      <c r="D40" s="4">
        <v>611</v>
      </c>
      <c r="E40" s="4">
        <v>680</v>
      </c>
      <c r="F40" s="4">
        <v>727</v>
      </c>
      <c r="G40" s="4">
        <v>843</v>
      </c>
      <c r="H40" s="4">
        <v>790</v>
      </c>
      <c r="I40" s="4">
        <v>734</v>
      </c>
    </row>
    <row r="41" spans="1:9" x14ac:dyDescent="0.3">
      <c r="A41" s="7">
        <v>2300</v>
      </c>
      <c r="B41" t="s">
        <v>89</v>
      </c>
    </row>
    <row r="42" spans="1:9" x14ac:dyDescent="0.3">
      <c r="A42" s="10">
        <v>2301</v>
      </c>
      <c r="B42" s="9" t="s">
        <v>90</v>
      </c>
      <c r="C42" s="16">
        <f>I42/$I$80*$C$80</f>
        <v>167.91149314044318</v>
      </c>
      <c r="D42" s="4">
        <v>103</v>
      </c>
      <c r="E42" s="4">
        <v>115</v>
      </c>
      <c r="F42" s="4">
        <v>198</v>
      </c>
      <c r="G42" s="4">
        <v>226</v>
      </c>
      <c r="H42" s="4">
        <v>139</v>
      </c>
      <c r="I42" s="4">
        <v>132</v>
      </c>
    </row>
    <row r="43" spans="1:9" x14ac:dyDescent="0.3">
      <c r="A43" s="10">
        <v>2302</v>
      </c>
      <c r="B43" s="9" t="s">
        <v>91</v>
      </c>
      <c r="C43" s="16">
        <f>I43/$I$80*$C$80</f>
        <v>276.03631826875886</v>
      </c>
      <c r="D43" s="4">
        <v>227</v>
      </c>
      <c r="E43" s="4">
        <v>252</v>
      </c>
      <c r="F43" s="4">
        <v>265</v>
      </c>
      <c r="G43" s="4">
        <v>270</v>
      </c>
      <c r="H43" s="4">
        <v>251</v>
      </c>
      <c r="I43" s="4">
        <v>217</v>
      </c>
    </row>
    <row r="44" spans="1:9" x14ac:dyDescent="0.3">
      <c r="A44" s="10">
        <v>2303</v>
      </c>
      <c r="B44" s="9" t="s">
        <v>92</v>
      </c>
      <c r="C44" s="16">
        <f>I44/$I$80*$C$80</f>
        <v>2421.9960828742715</v>
      </c>
      <c r="D44" s="4">
        <v>1398</v>
      </c>
      <c r="E44" s="4">
        <v>1558</v>
      </c>
      <c r="F44" s="4">
        <v>1678</v>
      </c>
      <c r="G44" s="4">
        <v>1819</v>
      </c>
      <c r="H44" s="4">
        <v>1929</v>
      </c>
      <c r="I44" s="4">
        <v>1904</v>
      </c>
    </row>
    <row r="45" spans="1:9" x14ac:dyDescent="0.3">
      <c r="A45" s="7">
        <v>2400</v>
      </c>
      <c r="B45" t="s">
        <v>93</v>
      </c>
      <c r="C45" s="16"/>
    </row>
    <row r="46" spans="1:9" x14ac:dyDescent="0.3">
      <c r="A46" s="10">
        <v>2410</v>
      </c>
      <c r="B46" s="9" t="s">
        <v>94</v>
      </c>
      <c r="C46" s="16">
        <f>I46/$I$80*$C$80</f>
        <v>67.419008609420374</v>
      </c>
      <c r="D46" s="4">
        <v>45</v>
      </c>
      <c r="E46" s="4">
        <v>50</v>
      </c>
      <c r="F46" s="4">
        <v>56</v>
      </c>
      <c r="G46" s="4">
        <v>58</v>
      </c>
      <c r="H46" s="4">
        <v>64</v>
      </c>
      <c r="I46" s="4">
        <v>53</v>
      </c>
    </row>
    <row r="47" spans="1:9" x14ac:dyDescent="0.3">
      <c r="A47" s="10">
        <v>2420</v>
      </c>
      <c r="B47" s="9" t="s">
        <v>93</v>
      </c>
      <c r="C47" s="16">
        <f>I47/$I$80*$C$80</f>
        <v>2717.1132526362621</v>
      </c>
      <c r="D47" s="4">
        <v>2016</v>
      </c>
      <c r="E47" s="4">
        <v>2246</v>
      </c>
      <c r="F47" s="4">
        <v>2305</v>
      </c>
      <c r="G47" s="4">
        <v>2251</v>
      </c>
      <c r="H47" s="4">
        <v>2125</v>
      </c>
      <c r="I47" s="4">
        <v>2136</v>
      </c>
    </row>
    <row r="48" spans="1:9" x14ac:dyDescent="0.3">
      <c r="A48" s="10">
        <v>2430</v>
      </c>
      <c r="B48" s="9" t="s">
        <v>95</v>
      </c>
      <c r="C48" s="16">
        <f>I48/$I$80*$C$80</f>
        <v>594.05050982262844</v>
      </c>
      <c r="D48" s="4">
        <v>302</v>
      </c>
      <c r="E48" s="4">
        <v>337</v>
      </c>
      <c r="F48" s="4">
        <v>364</v>
      </c>
      <c r="G48" s="4">
        <v>409</v>
      </c>
      <c r="H48" s="4">
        <v>502</v>
      </c>
      <c r="I48" s="4">
        <v>467</v>
      </c>
    </row>
    <row r="49" spans="1:9" x14ac:dyDescent="0.3">
      <c r="A49" s="7">
        <v>2500</v>
      </c>
      <c r="B49" t="s">
        <v>96</v>
      </c>
      <c r="C49" s="16">
        <f>I49/$I$80*$C$80</f>
        <v>17142.236981519789</v>
      </c>
      <c r="D49">
        <v>522</v>
      </c>
      <c r="E49">
        <v>582</v>
      </c>
      <c r="F49">
        <v>614</v>
      </c>
      <c r="G49">
        <v>703</v>
      </c>
      <c r="H49">
        <v>4714</v>
      </c>
      <c r="I49">
        <v>13476</v>
      </c>
    </row>
    <row r="50" spans="1:9" x14ac:dyDescent="0.3">
      <c r="A50" s="8">
        <v>3000</v>
      </c>
      <c r="B50" s="6" t="s">
        <v>97</v>
      </c>
      <c r="C50" s="16">
        <f>I50/$I$80*$C$80</f>
        <v>13168.331643862635</v>
      </c>
      <c r="D50" s="6">
        <v>7546</v>
      </c>
      <c r="E50" s="6">
        <v>8772</v>
      </c>
      <c r="F50" s="6">
        <v>9596</v>
      </c>
      <c r="G50" s="6">
        <v>10776</v>
      </c>
      <c r="H50" s="6">
        <v>11776</v>
      </c>
      <c r="I50" s="6">
        <v>10352</v>
      </c>
    </row>
    <row r="51" spans="1:9" x14ac:dyDescent="0.3">
      <c r="A51" s="7">
        <v>3100</v>
      </c>
      <c r="B51" t="s">
        <v>98</v>
      </c>
      <c r="C51" s="16"/>
    </row>
    <row r="52" spans="1:9" x14ac:dyDescent="0.3">
      <c r="A52" s="10">
        <v>3101</v>
      </c>
      <c r="B52" s="9" t="s">
        <v>99</v>
      </c>
      <c r="C52" s="16">
        <f>I52/$I$80*$C$80</f>
        <v>9381.4186508391558</v>
      </c>
      <c r="D52" s="4">
        <v>5265</v>
      </c>
      <c r="E52" s="4">
        <v>6121</v>
      </c>
      <c r="F52" s="4">
        <v>6657</v>
      </c>
      <c r="G52" s="4">
        <v>7391</v>
      </c>
      <c r="H52" s="4">
        <v>7885</v>
      </c>
      <c r="I52" s="4">
        <v>7375</v>
      </c>
    </row>
    <row r="53" spans="1:9" x14ac:dyDescent="0.3">
      <c r="A53" s="10">
        <v>3102</v>
      </c>
      <c r="B53" s="9" t="s">
        <v>100</v>
      </c>
      <c r="C53" s="16">
        <f>I53/$I$80*$C$80</f>
        <v>424.86695991596986</v>
      </c>
      <c r="D53" s="4">
        <v>221</v>
      </c>
      <c r="E53" s="4">
        <v>257</v>
      </c>
      <c r="F53" s="4">
        <v>283</v>
      </c>
      <c r="G53" s="4">
        <v>319</v>
      </c>
      <c r="H53" s="4">
        <v>353</v>
      </c>
      <c r="I53" s="4">
        <v>334</v>
      </c>
    </row>
    <row r="54" spans="1:9" x14ac:dyDescent="0.3">
      <c r="A54" s="7">
        <v>3200</v>
      </c>
      <c r="B54" t="s">
        <v>101</v>
      </c>
      <c r="C54" s="16"/>
    </row>
    <row r="55" spans="1:9" x14ac:dyDescent="0.3">
      <c r="A55" s="10">
        <v>3210</v>
      </c>
      <c r="B55" s="9" t="s">
        <v>102</v>
      </c>
      <c r="C55" s="16">
        <f>I55/$I$80*$C$80</f>
        <v>2252.8125329676127</v>
      </c>
      <c r="D55" s="4">
        <v>1468</v>
      </c>
      <c r="E55" s="4">
        <v>1707</v>
      </c>
      <c r="F55" s="4">
        <v>1932</v>
      </c>
      <c r="G55" s="4">
        <v>2243</v>
      </c>
      <c r="H55" s="4">
        <v>2498</v>
      </c>
      <c r="I55" s="4">
        <v>1771</v>
      </c>
    </row>
    <row r="56" spans="1:9" x14ac:dyDescent="0.3">
      <c r="A56" s="10">
        <v>3220</v>
      </c>
      <c r="B56" s="9" t="s">
        <v>103</v>
      </c>
      <c r="C56" s="16">
        <f>I56/$I$80*$C$80</f>
        <v>628.39604251044636</v>
      </c>
      <c r="D56" s="4">
        <v>461</v>
      </c>
      <c r="E56" s="4">
        <v>536</v>
      </c>
      <c r="F56" s="4">
        <v>559</v>
      </c>
      <c r="G56" s="4">
        <v>632</v>
      </c>
      <c r="H56" s="4">
        <v>639</v>
      </c>
      <c r="I56" s="4">
        <v>494</v>
      </c>
    </row>
    <row r="57" spans="1:9" x14ac:dyDescent="0.3">
      <c r="A57" s="10">
        <v>3230</v>
      </c>
      <c r="B57" s="4" t="s">
        <v>104</v>
      </c>
      <c r="C57" s="16">
        <f>I57/$I$80*$C$80</f>
        <v>480.83745762945091</v>
      </c>
      <c r="D57" s="4">
        <v>130</v>
      </c>
      <c r="E57" s="4">
        <v>151</v>
      </c>
      <c r="F57" s="4">
        <v>164</v>
      </c>
      <c r="G57" s="4">
        <v>191</v>
      </c>
      <c r="H57" s="4">
        <v>401</v>
      </c>
      <c r="I57" s="4">
        <v>378</v>
      </c>
    </row>
    <row r="58" spans="1:9" x14ac:dyDescent="0.3">
      <c r="A58" s="8">
        <v>4000</v>
      </c>
      <c r="B58" s="6" t="s">
        <v>105</v>
      </c>
      <c r="C58" s="16">
        <f>I58/$I$80*$C$80</f>
        <v>93061.128902791985</v>
      </c>
      <c r="D58" s="6">
        <v>50374</v>
      </c>
      <c r="E58" s="6">
        <v>55227</v>
      </c>
      <c r="F58" s="6">
        <v>57704</v>
      </c>
      <c r="G58" s="6">
        <v>62241</v>
      </c>
      <c r="H58" s="6">
        <v>69061</v>
      </c>
      <c r="I58" s="6">
        <v>73158</v>
      </c>
    </row>
    <row r="59" spans="1:9" x14ac:dyDescent="0.3">
      <c r="A59" s="7">
        <v>4100</v>
      </c>
      <c r="B59" t="s">
        <v>106</v>
      </c>
      <c r="C59" s="16">
        <f>I59/$I$80*$C$80</f>
        <v>2447.4372181985809</v>
      </c>
      <c r="D59">
        <v>1291</v>
      </c>
      <c r="E59">
        <v>1416</v>
      </c>
      <c r="F59">
        <v>1479</v>
      </c>
      <c r="G59">
        <v>1587</v>
      </c>
      <c r="H59">
        <v>1812</v>
      </c>
      <c r="I59">
        <v>1924</v>
      </c>
    </row>
    <row r="60" spans="1:9" x14ac:dyDescent="0.3">
      <c r="A60" s="7">
        <v>4300</v>
      </c>
      <c r="B60" t="s">
        <v>107</v>
      </c>
      <c r="C60" s="16">
        <f>I60/$I$80*$C$80</f>
        <v>2893.9291431402139</v>
      </c>
      <c r="D60">
        <v>1784</v>
      </c>
      <c r="E60">
        <v>1956</v>
      </c>
      <c r="F60">
        <v>2051</v>
      </c>
      <c r="G60">
        <v>2230</v>
      </c>
      <c r="H60">
        <v>2450</v>
      </c>
      <c r="I60">
        <v>2275</v>
      </c>
    </row>
    <row r="61" spans="1:9" x14ac:dyDescent="0.3">
      <c r="A61" s="7">
        <v>4400</v>
      </c>
      <c r="B61" t="s">
        <v>108</v>
      </c>
      <c r="C61" s="16"/>
    </row>
    <row r="62" spans="1:9" x14ac:dyDescent="0.3">
      <c r="A62" s="10">
        <v>4401</v>
      </c>
      <c r="B62" s="9" t="s">
        <v>109</v>
      </c>
      <c r="C62" s="16">
        <f>I62/$I$80*$C$80</f>
        <v>64560.697055734185</v>
      </c>
      <c r="D62" s="4">
        <v>34983</v>
      </c>
      <c r="E62" s="4">
        <v>38354</v>
      </c>
      <c r="F62" s="4">
        <v>39647</v>
      </c>
      <c r="G62" s="4">
        <v>42547</v>
      </c>
      <c r="H62" s="4">
        <v>47499</v>
      </c>
      <c r="I62" s="4">
        <v>50753</v>
      </c>
    </row>
    <row r="63" spans="1:9" x14ac:dyDescent="0.3">
      <c r="A63" s="10">
        <v>4402</v>
      </c>
      <c r="B63" s="9" t="s">
        <v>110</v>
      </c>
      <c r="C63" s="16">
        <f>I63/$I$80*$C$80</f>
        <v>23151.433145121711</v>
      </c>
      <c r="D63" s="4">
        <v>12315</v>
      </c>
      <c r="E63" s="4">
        <v>13501</v>
      </c>
      <c r="F63" s="4">
        <v>14526</v>
      </c>
      <c r="G63" s="4">
        <v>15877</v>
      </c>
      <c r="H63" s="4">
        <v>17297</v>
      </c>
      <c r="I63" s="4">
        <v>18200</v>
      </c>
    </row>
    <row r="64" spans="1:9" x14ac:dyDescent="0.3">
      <c r="A64" s="8">
        <v>5000</v>
      </c>
      <c r="B64" s="6" t="s">
        <v>111</v>
      </c>
      <c r="C64" s="16">
        <f>I64/$I$80*$C$80</f>
        <v>11414.16536325149</v>
      </c>
      <c r="D64" s="6">
        <v>5432</v>
      </c>
      <c r="E64" s="6">
        <v>6036</v>
      </c>
      <c r="F64" s="6">
        <v>6581</v>
      </c>
      <c r="G64" s="6">
        <v>7340</v>
      </c>
      <c r="H64" s="6">
        <v>8209</v>
      </c>
      <c r="I64" s="6">
        <v>8973</v>
      </c>
    </row>
    <row r="65" spans="1:9" x14ac:dyDescent="0.3">
      <c r="A65" s="7">
        <v>5100</v>
      </c>
      <c r="B65" t="s">
        <v>112</v>
      </c>
      <c r="C65" s="16"/>
    </row>
    <row r="66" spans="1:9" x14ac:dyDescent="0.3">
      <c r="A66" s="10">
        <v>5101</v>
      </c>
      <c r="B66" s="9" t="s">
        <v>113</v>
      </c>
      <c r="C66" s="16">
        <f>I66/$I$80*$C$80</f>
        <v>186.99234463367537</v>
      </c>
      <c r="D66" s="4">
        <v>85</v>
      </c>
      <c r="E66" s="4">
        <v>94</v>
      </c>
      <c r="F66" s="4">
        <v>106</v>
      </c>
      <c r="G66" s="4">
        <v>113</v>
      </c>
      <c r="H66" s="4">
        <v>132</v>
      </c>
      <c r="I66" s="4">
        <v>147</v>
      </c>
    </row>
    <row r="67" spans="1:9" x14ac:dyDescent="0.3">
      <c r="A67" s="10">
        <v>5102</v>
      </c>
      <c r="B67" s="9" t="s">
        <v>114</v>
      </c>
      <c r="C67" s="16">
        <f>I67/$I$80*$C$80</f>
        <v>431.22724374704728</v>
      </c>
      <c r="D67" s="4">
        <v>216</v>
      </c>
      <c r="E67" s="4">
        <v>240</v>
      </c>
      <c r="F67" s="4">
        <v>264</v>
      </c>
      <c r="G67" s="4">
        <v>298</v>
      </c>
      <c r="H67" s="4">
        <v>326</v>
      </c>
      <c r="I67" s="4">
        <v>339</v>
      </c>
    </row>
    <row r="68" spans="1:9" x14ac:dyDescent="0.3">
      <c r="A68" s="10">
        <v>5103</v>
      </c>
      <c r="B68" s="9" t="s">
        <v>115</v>
      </c>
      <c r="C68" s="16">
        <f>I68/$I$80*$C$80</f>
        <v>1698.1957828976638</v>
      </c>
      <c r="D68" s="4">
        <v>750</v>
      </c>
      <c r="E68" s="4">
        <v>833</v>
      </c>
      <c r="F68" s="4">
        <v>897</v>
      </c>
      <c r="G68" s="4">
        <v>998</v>
      </c>
      <c r="H68" s="4">
        <v>1226</v>
      </c>
      <c r="I68" s="4">
        <v>1335</v>
      </c>
    </row>
    <row r="69" spans="1:9" x14ac:dyDescent="0.3">
      <c r="A69" s="10">
        <v>5104</v>
      </c>
      <c r="B69" s="9" t="s">
        <v>116</v>
      </c>
      <c r="C69" s="16">
        <f>I69/$I$80*$C$80</f>
        <v>2325.3197686418948</v>
      </c>
      <c r="D69" s="4">
        <v>1057</v>
      </c>
      <c r="E69" s="4">
        <v>1174</v>
      </c>
      <c r="F69" s="4">
        <v>1306</v>
      </c>
      <c r="G69" s="4">
        <v>1468</v>
      </c>
      <c r="H69" s="4">
        <v>1636</v>
      </c>
      <c r="I69" s="4">
        <v>1828</v>
      </c>
    </row>
    <row r="70" spans="1:9" x14ac:dyDescent="0.3">
      <c r="A70" s="7">
        <v>5200</v>
      </c>
      <c r="B70" t="s">
        <v>117</v>
      </c>
      <c r="C70" s="16">
        <f>I70/$I$80*$C$80</f>
        <v>2921.9143919969547</v>
      </c>
      <c r="D70">
        <v>1196</v>
      </c>
      <c r="E70">
        <v>1329</v>
      </c>
      <c r="F70">
        <v>1483</v>
      </c>
      <c r="G70">
        <v>1706</v>
      </c>
      <c r="H70">
        <v>1942</v>
      </c>
      <c r="I70">
        <v>2297</v>
      </c>
    </row>
    <row r="71" spans="1:9" x14ac:dyDescent="0.3">
      <c r="A71" s="7">
        <v>5300</v>
      </c>
      <c r="B71" t="s">
        <v>118</v>
      </c>
      <c r="C71" s="16"/>
    </row>
    <row r="72" spans="1:9" x14ac:dyDescent="0.3">
      <c r="A72" s="10">
        <v>5301</v>
      </c>
      <c r="B72" s="9" t="s">
        <v>119</v>
      </c>
      <c r="C72" s="16">
        <f>I72/$I$80*$C$80</f>
        <v>145.01447134856454</v>
      </c>
      <c r="D72" s="4">
        <v>85</v>
      </c>
      <c r="E72" s="4">
        <v>95</v>
      </c>
      <c r="F72" s="4">
        <v>86</v>
      </c>
      <c r="G72" s="4">
        <v>98</v>
      </c>
      <c r="H72" s="4">
        <v>135</v>
      </c>
      <c r="I72" s="4">
        <v>114</v>
      </c>
    </row>
    <row r="73" spans="1:9" x14ac:dyDescent="0.3">
      <c r="A73" s="10">
        <v>5302</v>
      </c>
      <c r="B73" s="9" t="s">
        <v>120</v>
      </c>
      <c r="C73" s="16">
        <f>I73/$I$80*$C$80</f>
        <v>264.58780737281955</v>
      </c>
      <c r="D73" s="4">
        <v>154</v>
      </c>
      <c r="E73" s="4">
        <v>171</v>
      </c>
      <c r="F73" s="4">
        <v>175</v>
      </c>
      <c r="G73" s="4">
        <v>229</v>
      </c>
      <c r="H73" s="4">
        <v>212</v>
      </c>
      <c r="I73" s="4">
        <v>208</v>
      </c>
    </row>
    <row r="74" spans="1:9" x14ac:dyDescent="0.3">
      <c r="A74" s="7">
        <v>5400</v>
      </c>
      <c r="B74" t="s">
        <v>121</v>
      </c>
      <c r="C74" s="16"/>
    </row>
    <row r="75" spans="1:9" x14ac:dyDescent="0.3">
      <c r="A75" s="10">
        <v>5401</v>
      </c>
      <c r="B75" s="9" t="s">
        <v>122</v>
      </c>
      <c r="C75" s="16">
        <f>I75/$I$80*$C$80</f>
        <v>592.77845305641313</v>
      </c>
      <c r="D75" s="4">
        <v>330</v>
      </c>
      <c r="E75" s="4">
        <v>367</v>
      </c>
      <c r="F75" s="4">
        <v>382</v>
      </c>
      <c r="G75" s="4">
        <v>404</v>
      </c>
      <c r="H75" s="4">
        <v>455</v>
      </c>
      <c r="I75" s="4">
        <v>466</v>
      </c>
    </row>
    <row r="76" spans="1:9" x14ac:dyDescent="0.3">
      <c r="A76" s="10">
        <v>5402</v>
      </c>
      <c r="B76" s="9" t="s">
        <v>123</v>
      </c>
      <c r="C76" s="16">
        <f>I76/$I$80*$C$80</f>
        <v>95.4042574661609</v>
      </c>
      <c r="D76" s="4">
        <v>58</v>
      </c>
      <c r="E76" s="4">
        <v>64</v>
      </c>
      <c r="F76" s="4">
        <v>66</v>
      </c>
      <c r="G76" s="4">
        <v>70</v>
      </c>
      <c r="H76" s="4">
        <v>80</v>
      </c>
      <c r="I76" s="4">
        <v>75</v>
      </c>
    </row>
    <row r="77" spans="1:9" x14ac:dyDescent="0.3">
      <c r="A77" s="10">
        <v>5403</v>
      </c>
      <c r="B77" s="9" t="s">
        <v>124</v>
      </c>
      <c r="C77" s="16">
        <f>I77/$I$80*$C$80</f>
        <v>151.37475517964197</v>
      </c>
      <c r="D77" s="4">
        <v>86</v>
      </c>
      <c r="E77" s="4">
        <v>96</v>
      </c>
      <c r="F77" s="4">
        <v>108</v>
      </c>
      <c r="G77" s="4">
        <v>154</v>
      </c>
      <c r="H77" s="4">
        <v>118</v>
      </c>
      <c r="I77" s="4">
        <v>119</v>
      </c>
    </row>
    <row r="78" spans="1:9" x14ac:dyDescent="0.3">
      <c r="A78" s="10">
        <v>5404</v>
      </c>
      <c r="B78" s="9" t="s">
        <v>125</v>
      </c>
      <c r="C78" s="16">
        <f>I78/$I$80*$C$80</f>
        <v>1779.6074159354546</v>
      </c>
      <c r="D78" s="4">
        <v>794</v>
      </c>
      <c r="E78" s="4">
        <v>882</v>
      </c>
      <c r="F78" s="4">
        <v>958</v>
      </c>
      <c r="G78" s="4">
        <v>1017</v>
      </c>
      <c r="H78" s="4">
        <v>1150</v>
      </c>
      <c r="I78" s="4">
        <v>1399</v>
      </c>
    </row>
    <row r="79" spans="1:9" x14ac:dyDescent="0.3">
      <c r="A79" s="10">
        <v>5500</v>
      </c>
      <c r="B79" s="9" t="s">
        <v>40</v>
      </c>
      <c r="C79" s="16">
        <f>I79/$I$80*$C$80</f>
        <v>821.74867097519916</v>
      </c>
      <c r="D79" s="4">
        <v>622</v>
      </c>
      <c r="E79" s="4">
        <v>691</v>
      </c>
      <c r="F79" s="4">
        <v>751</v>
      </c>
      <c r="G79" s="4">
        <v>786</v>
      </c>
      <c r="H79" s="4">
        <v>797</v>
      </c>
      <c r="I79" s="4">
        <v>646</v>
      </c>
    </row>
    <row r="80" spans="1:9" x14ac:dyDescent="0.3">
      <c r="B80" s="8" t="s">
        <v>126</v>
      </c>
      <c r="C80" s="15">
        <f>[1]yearly_full_release_long_format!$P$335108*1000</f>
        <v>277330</v>
      </c>
      <c r="D80" s="6">
        <v>142742</v>
      </c>
      <c r="E80" s="6">
        <v>159513</v>
      </c>
      <c r="F80" s="6">
        <v>173793</v>
      </c>
      <c r="G80" s="6">
        <v>191629</v>
      </c>
      <c r="H80" s="6">
        <v>209234</v>
      </c>
      <c r="I80" s="6">
        <v>218017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EAF5-A56E-4270-8472-89080845ECB0}">
  <dimension ref="A1:B7"/>
  <sheetViews>
    <sheetView workbookViewId="0">
      <selection activeCell="A7" sqref="A7"/>
    </sheetView>
  </sheetViews>
  <sheetFormatPr defaultRowHeight="14.4" x14ac:dyDescent="0.3"/>
  <cols>
    <col min="1" max="1" width="20.6640625" customWidth="1"/>
  </cols>
  <sheetData>
    <row r="1" spans="1:2" x14ac:dyDescent="0.3">
      <c r="A1" s="6" t="s">
        <v>0</v>
      </c>
      <c r="B1" s="6" t="s">
        <v>128</v>
      </c>
    </row>
    <row r="2" spans="1:2" x14ac:dyDescent="0.3">
      <c r="A2" t="s">
        <v>130</v>
      </c>
      <c r="B2" t="s">
        <v>129</v>
      </c>
    </row>
    <row r="3" spans="1:2" x14ac:dyDescent="0.3">
      <c r="A3" t="s">
        <v>131</v>
      </c>
      <c r="B3" t="s">
        <v>127</v>
      </c>
    </row>
    <row r="4" spans="1:2" x14ac:dyDescent="0.3">
      <c r="A4" t="s">
        <v>132</v>
      </c>
      <c r="B4" t="s">
        <v>127</v>
      </c>
    </row>
    <row r="5" spans="1:2" x14ac:dyDescent="0.3">
      <c r="A5" t="s">
        <v>133</v>
      </c>
      <c r="B5" t="s">
        <v>127</v>
      </c>
    </row>
    <row r="7" spans="1:2" x14ac:dyDescent="0.3">
      <c r="A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Installed_capacity</vt:lpstr>
      <vt:lpstr>Power_generation</vt:lpstr>
      <vt:lpstr>Summary_cheet</vt:lpstr>
      <vt:lpstr>Electricity_sales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Ye, M.</cp:lastModifiedBy>
  <dcterms:created xsi:type="dcterms:W3CDTF">2024-11-21T07:44:02Z</dcterms:created>
  <dcterms:modified xsi:type="dcterms:W3CDTF">2024-11-29T09:02:46Z</dcterms:modified>
</cp:coreProperties>
</file>